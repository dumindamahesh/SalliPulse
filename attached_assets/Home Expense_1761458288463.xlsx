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A763C393-9D64-436C-ACAA-6FDD1E84FC5A}" xr6:coauthVersionLast="47" xr6:coauthVersionMax="47" xr10:uidLastSave="{00000000-0000-0000-0000-000000000000}"/>
  <bookViews>
    <workbookView xWindow="-120" yWindow="-120" windowWidth="25440" windowHeight="15390" xr2:uid="{00000000-000D-0000-FFFF-FFFF00000000}"/>
  </bookViews>
  <sheets>
    <sheet name="Dashboard" sheetId="2" r:id="rId1"/>
    <sheet name="Data" sheetId="1" r:id="rId2"/>
    <sheet name="Pivots" sheetId="3" r:id="rId3"/>
    <sheet name="Mapping" sheetId="4" r:id="rId4"/>
  </sheets>
  <definedNames>
    <definedName name="_xlcn.WorksheetConnection_HomeExpenses.xlsxTable11" hidden="1">Table1[]</definedName>
    <definedName name="Slicer_Expense_Category">#N/A</definedName>
    <definedName name="Slicer_Family_Member_Name">#N/A</definedName>
    <definedName name="Slicer_Income_Category">#N/A</definedName>
    <definedName name="Timeline_Date">#N/A</definedName>
  </definedNames>
  <calcPr calcId="191029"/>
  <pivotCaches>
    <pivotCache cacheId="47" r:id="rId5"/>
    <pivotCache cacheId="50" r:id="rId6"/>
    <pivotCache cacheId="53" r:id="rId7"/>
    <pivotCache cacheId="56" r:id="rId8"/>
    <pivotCache cacheId="59" r:id="rId9"/>
    <pivotCache cacheId="62" r:id="rId10"/>
    <pivotCache cacheId="65" r:id="rId11"/>
    <pivotCache cacheId="68" r:id="rId12"/>
    <pivotCache cacheId="74" r:id="rId13"/>
  </pivotCaches>
  <extLst>
    <ext xmlns:x14="http://schemas.microsoft.com/office/spreadsheetml/2009/9/main" uri="{876F7934-8845-4945-9796-88D515C7AA90}">
      <x14:pivotCaches>
        <pivotCache cacheId="45"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6"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Home Expenses.xlsx!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G351" i="1" l="1"/>
  <c r="F340" i="1"/>
  <c r="F338" i="1"/>
  <c r="F334" i="1"/>
  <c r="F269" i="1" l="1"/>
  <c r="F232" i="1"/>
  <c r="F186" i="1"/>
  <c r="F158" i="1"/>
  <c r="F159" i="1"/>
  <c r="F146" i="1"/>
  <c r="F147" i="1"/>
  <c r="F69" i="1"/>
  <c r="G144" i="1"/>
  <c r="G67" i="1"/>
  <c r="G154" i="1"/>
  <c r="F140" i="1"/>
  <c r="A70" i="3"/>
  <c r="A71" i="3"/>
  <c r="A72" i="3"/>
  <c r="A73" i="3"/>
  <c r="A74" i="3"/>
  <c r="A75" i="3"/>
  <c r="A76" i="3"/>
  <c r="A77" i="3"/>
  <c r="A78" i="3"/>
  <c r="A79" i="3"/>
  <c r="A80" i="3"/>
  <c r="A81" i="3"/>
  <c r="A82" i="3"/>
  <c r="A83" i="3"/>
  <c r="A84" i="3"/>
  <c r="A85" i="3"/>
  <c r="A86" i="3"/>
  <c r="A87" i="3"/>
  <c r="F105" i="1"/>
  <c r="F100" i="1"/>
  <c r="F99" i="1"/>
  <c r="B78" i="3"/>
  <c r="B85" i="3"/>
  <c r="B82" i="3"/>
  <c r="B86" i="3"/>
  <c r="B77" i="3"/>
  <c r="B87" i="3"/>
  <c r="B74" i="3"/>
  <c r="B72" i="3"/>
  <c r="B70" i="3"/>
  <c r="B71" i="3"/>
  <c r="B75" i="3"/>
  <c r="B83" i="3"/>
  <c r="B79" i="3"/>
  <c r="B73" i="3"/>
  <c r="B80" i="3"/>
  <c r="B81" i="3"/>
  <c r="B84" i="3"/>
  <c r="B76" i="3"/>
  <c r="E70" i="3" l="1"/>
  <c r="E75" i="3"/>
  <c r="E74" i="3"/>
  <c r="E72" i="3"/>
  <c r="E73" i="3"/>
  <c r="E7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C624BB-604F-43C9-9C7C-07357D83C1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D57E85-BE99-44DC-86ED-CDF2D1293F42}" name="WorksheetConnection_Home Expenses.xlsx!Table1" type="102" refreshedVersion="8" minRefreshableVersion="5">
    <extLst>
      <ext xmlns:x15="http://schemas.microsoft.com/office/spreadsheetml/2010/11/main" uri="{DE250136-89BD-433C-8126-D09CA5730AF9}">
        <x15:connection id="Table1" autoDelete="1">
          <x15:rangePr sourceName="_xlcn.WorksheetConnection_HomeExpenses.xlsxTable11"/>
        </x15:connection>
      </ext>
    </extLst>
  </connection>
</connections>
</file>

<file path=xl/sharedStrings.xml><?xml version="1.0" encoding="utf-8"?>
<sst xmlns="http://schemas.openxmlformats.org/spreadsheetml/2006/main" count="1514" uniqueCount="269">
  <si>
    <t>Date</t>
  </si>
  <si>
    <t>Beauty/salon</t>
  </si>
  <si>
    <t xml:space="preserve">Electricity </t>
  </si>
  <si>
    <t xml:space="preserve">Water </t>
  </si>
  <si>
    <t xml:space="preserve">⁠Clothings </t>
  </si>
  <si>
    <t>Internet/Phones</t>
  </si>
  <si>
    <t>Family Member Name</t>
  </si>
  <si>
    <t>Expense Category</t>
  </si>
  <si>
    <t>Member Names</t>
  </si>
  <si>
    <t>Other</t>
  </si>
  <si>
    <t>Column Labels</t>
  </si>
  <si>
    <t>Grand Total</t>
  </si>
  <si>
    <t>Row Labels</t>
  </si>
  <si>
    <t>Mahesh</t>
  </si>
  <si>
    <t>Shalini</t>
  </si>
  <si>
    <t>Siluni</t>
  </si>
  <si>
    <t>Ralini</t>
  </si>
  <si>
    <t>School Fees</t>
  </si>
  <si>
    <t>Medical</t>
  </si>
  <si>
    <t xml:space="preserve">Popi/Tabi🐕 </t>
  </si>
  <si>
    <t>Lunch/Dinner</t>
  </si>
  <si>
    <t>Class Fees</t>
  </si>
  <si>
    <t>Exam Fees</t>
  </si>
  <si>
    <t>Books/Stationary</t>
  </si>
  <si>
    <t>Sundry</t>
  </si>
  <si>
    <t>Transport/Petrol</t>
  </si>
  <si>
    <t>Servent</t>
  </si>
  <si>
    <t>Weekly Travelling - Shalini</t>
  </si>
  <si>
    <t>Weelky Food &amp; Travel - Mahesh</t>
  </si>
  <si>
    <t>Shalini Expenses</t>
  </si>
  <si>
    <t>Anty</t>
  </si>
  <si>
    <t>Train Season</t>
  </si>
  <si>
    <t>Weekly Home Foods</t>
  </si>
  <si>
    <t>Weekly Petrol</t>
  </si>
  <si>
    <t>Books for School</t>
  </si>
  <si>
    <t>School Threewil Uncle</t>
  </si>
  <si>
    <t>Extra Petrol</t>
  </si>
  <si>
    <t>Kids Trip Fees</t>
  </si>
  <si>
    <t>Pipi-Tubi Medicine</t>
  </si>
  <si>
    <t>Extra Home Expenses</t>
  </si>
  <si>
    <t>Interest Payment - Ammi S</t>
  </si>
  <si>
    <t>Leasing - Vezel (Arrears)</t>
  </si>
  <si>
    <t>Leasing - Vezel</t>
  </si>
  <si>
    <t>Gas</t>
  </si>
  <si>
    <t>Utility Bills</t>
  </si>
  <si>
    <t>LB Gold Loan Interest</t>
  </si>
  <si>
    <t>KWID Insurance</t>
  </si>
  <si>
    <t>School Threewil</t>
  </si>
  <si>
    <t>Entertainment</t>
  </si>
  <si>
    <t>Vehicle Repair</t>
  </si>
  <si>
    <t>Ellawala Visit - Groceries</t>
  </si>
  <si>
    <t>Ellawala Visit - Petrol</t>
  </si>
  <si>
    <t>Canava Pro</t>
  </si>
  <si>
    <t>Lunch - Aroma - Engagement Anneversary</t>
  </si>
  <si>
    <t>Foods - Art Event Visit</t>
  </si>
  <si>
    <t>Loan - SMIB 1</t>
  </si>
  <si>
    <t>Leasing - Alto</t>
  </si>
  <si>
    <t>Stationary</t>
  </si>
  <si>
    <t>Medical - Mahesh</t>
  </si>
  <si>
    <t>Ammi - S - Travelling</t>
  </si>
  <si>
    <t>Dinner</t>
  </si>
  <si>
    <t>Stationary - Siluni</t>
  </si>
  <si>
    <t>Weelky Food - Mahesh</t>
  </si>
  <si>
    <t>Weelky Travel - Mahesh</t>
  </si>
  <si>
    <t>Feb</t>
  </si>
  <si>
    <t>Jan</t>
  </si>
  <si>
    <t>Income Category</t>
  </si>
  <si>
    <t>Income Categories</t>
  </si>
  <si>
    <t>Salary</t>
  </si>
  <si>
    <t>Vehicle Rent</t>
  </si>
  <si>
    <t>Bookkeeping</t>
  </si>
  <si>
    <t>Forex</t>
  </si>
  <si>
    <t>Salary - Mahesh - JL</t>
  </si>
  <si>
    <t>Salary - Mahesh</t>
  </si>
  <si>
    <t>KWID Rent</t>
  </si>
  <si>
    <t>Salary - Shalini</t>
  </si>
  <si>
    <t>Alto Rent</t>
  </si>
  <si>
    <t>Expense</t>
  </si>
  <si>
    <t>Sum of Expense</t>
  </si>
  <si>
    <t>Income</t>
  </si>
  <si>
    <t>KWID AC Repair</t>
  </si>
  <si>
    <t>Colombo Kids Club - IQ Test</t>
  </si>
  <si>
    <t>Colombo Kids Club - Art Competition</t>
  </si>
  <si>
    <t>Sum of Income</t>
  </si>
  <si>
    <t>Electricity</t>
  </si>
  <si>
    <t>Groceries</t>
  </si>
  <si>
    <t>Snacks</t>
  </si>
  <si>
    <t>Water</t>
  </si>
  <si>
    <t>Sunday afternoon Foods</t>
  </si>
  <si>
    <t>Donation-S</t>
  </si>
  <si>
    <t>School Bags</t>
  </si>
  <si>
    <t>Shoes-M</t>
  </si>
  <si>
    <t>Table Lamp</t>
  </si>
  <si>
    <t>Shalini - Degree Fee</t>
  </si>
  <si>
    <t>Utility Bills - Telephone and Wifi</t>
  </si>
  <si>
    <t>Utility Bills - Water</t>
  </si>
  <si>
    <t>Utility Bills - Electricity</t>
  </si>
  <si>
    <t>⁠Clothings</t>
  </si>
  <si>
    <t>Kwid - 3 no's Engine Mounts</t>
  </si>
  <si>
    <t>Kwid - A/C Compressor</t>
  </si>
  <si>
    <t>Kwid - Gear Box Oring</t>
  </si>
  <si>
    <t>Kwid - A/C Gas Filling</t>
  </si>
  <si>
    <t>Stationary - Arts</t>
  </si>
  <si>
    <t>Kwid - Seram</t>
  </si>
  <si>
    <t>Alto Interset</t>
  </si>
  <si>
    <t>Medicine - Mahesh</t>
  </si>
  <si>
    <t>KWID AC Full Service</t>
  </si>
  <si>
    <t>Stationery - Siluni</t>
  </si>
  <si>
    <t>KWID Rent - Advance</t>
  </si>
  <si>
    <t>Description</t>
  </si>
  <si>
    <t>Expense Categories</t>
  </si>
  <si>
    <t>Groceries/Snacks</t>
  </si>
  <si>
    <t>Loan/Lease</t>
  </si>
  <si>
    <t>Interest</t>
  </si>
  <si>
    <t>Licence/Insurance</t>
  </si>
  <si>
    <t>Tyre/Battery</t>
  </si>
  <si>
    <t>Lease/Loan</t>
  </si>
  <si>
    <t>Food</t>
  </si>
  <si>
    <t>Travelling</t>
  </si>
  <si>
    <t>Utilities</t>
  </si>
  <si>
    <t>School Threewil - Balance</t>
  </si>
  <si>
    <t>Salary Advance - Mahesh</t>
  </si>
  <si>
    <t>Art Competition - Canvas &amp; Oil Pastal</t>
  </si>
  <si>
    <t>Tabi Medicine</t>
  </si>
  <si>
    <t>Anty - Balance</t>
  </si>
  <si>
    <t>Kwid - 2 Tyres</t>
  </si>
  <si>
    <t>Alto Rent - Advance</t>
  </si>
  <si>
    <t>Alto Rent (Service Deduction)</t>
  </si>
  <si>
    <t>Alto Service Fee - Part 1</t>
  </si>
  <si>
    <t>Mar</t>
  </si>
  <si>
    <t>Bread, Parata</t>
  </si>
  <si>
    <t>Expenses</t>
  </si>
  <si>
    <t>IIHS Fees</t>
  </si>
  <si>
    <t>Loan - SMIB - Shalini</t>
  </si>
  <si>
    <t>Class Fees - Kamal</t>
  </si>
  <si>
    <t>Education</t>
  </si>
  <si>
    <t>Beta Je</t>
  </si>
  <si>
    <t>Car Rent Income</t>
  </si>
  <si>
    <t>Car Rent Expense</t>
  </si>
  <si>
    <t>Weekly Travelling - Mahesh</t>
  </si>
  <si>
    <t>School Threewil- Arrears</t>
  </si>
  <si>
    <t>Anty- Arrears</t>
  </si>
  <si>
    <t>Extra Groceries</t>
  </si>
  <si>
    <t>Petrol</t>
  </si>
  <si>
    <t>Face wash and deodrent</t>
  </si>
  <si>
    <t>Interest - Ammi S</t>
  </si>
  <si>
    <t>Ellawala Visit</t>
  </si>
  <si>
    <t>Donation</t>
  </si>
  <si>
    <t>Laptop Repair</t>
  </si>
  <si>
    <t>A4 Sheets</t>
  </si>
  <si>
    <t>Lunch, Shorteats</t>
  </si>
  <si>
    <t>Airtel Bill - S</t>
  </si>
  <si>
    <t>Airtel Bill - M</t>
  </si>
  <si>
    <t>Router</t>
  </si>
  <si>
    <t>CEB</t>
  </si>
  <si>
    <t>TV</t>
  </si>
  <si>
    <t>School Threewil - Arrears</t>
  </si>
  <si>
    <t>Shalini Exam Fees</t>
  </si>
  <si>
    <t>TEMU</t>
  </si>
  <si>
    <t>Valuation Fees - KWID</t>
  </si>
  <si>
    <t>Vezel Arrears Settlement</t>
  </si>
  <si>
    <t>Tabi - Injections &amp; Medicine</t>
  </si>
  <si>
    <t>Lunch - Aroma</t>
  </si>
  <si>
    <t>Shalini - Donation</t>
  </si>
  <si>
    <t>Extra Food Expenses</t>
  </si>
  <si>
    <t>Dialog - Mahesh</t>
  </si>
  <si>
    <t>Dialog TV - Extra</t>
  </si>
  <si>
    <t>Alro Service</t>
  </si>
  <si>
    <t>Popi/Tabi🐕</t>
  </si>
  <si>
    <t>Anty Arrears</t>
  </si>
  <si>
    <t>KWID Service &amp; Break Oil</t>
  </si>
  <si>
    <t>Chocolates</t>
  </si>
  <si>
    <t>Shoes, Denims - Mahesh</t>
  </si>
  <si>
    <t>Alto Rent - Arrears January</t>
  </si>
  <si>
    <t>Alto Rent - Extra February</t>
  </si>
  <si>
    <t>Alto Rent - Part  2 - Service Deduction</t>
  </si>
  <si>
    <t>Alto Rent - Part 1 - March</t>
  </si>
  <si>
    <t>Alto Service - Part 1</t>
  </si>
  <si>
    <t>Union Fees</t>
  </si>
  <si>
    <t>Clothes</t>
  </si>
  <si>
    <t>New Year Foods - Kids</t>
  </si>
  <si>
    <t>Travelling - Shalini</t>
  </si>
  <si>
    <t>Lunch - Shalini</t>
  </si>
  <si>
    <t>KWID (Tapped Cover 10.5k, Gum 11.5K)</t>
  </si>
  <si>
    <t>KWID ECU Repair</t>
  </si>
  <si>
    <t>KWID (Coil 3 &amp; Plugs 3, Gum - 34.9k, 9.6k Seram)</t>
  </si>
  <si>
    <t>AirtelS</t>
  </si>
  <si>
    <t>AirtelM</t>
  </si>
  <si>
    <t>Salary - March 2025</t>
  </si>
  <si>
    <t>Bonus - New Year</t>
  </si>
  <si>
    <t>Alto Rent - Part</t>
  </si>
  <si>
    <t>KWID Rent - Part</t>
  </si>
  <si>
    <t>Alto Rent - Advance Next Month</t>
  </si>
  <si>
    <t>Apr</t>
  </si>
  <si>
    <t>Anty - Avurudu Bonus</t>
  </si>
  <si>
    <t>Barrery Charge - Vezel</t>
  </si>
  <si>
    <t>Birthday - Shalini - Cake</t>
  </si>
  <si>
    <t>Birthday - Shalini - Clothes</t>
  </si>
  <si>
    <t>3 no;s Used Tyres - Vezel</t>
  </si>
  <si>
    <t>Battery - Vezel</t>
  </si>
  <si>
    <t>New Year Foods</t>
  </si>
  <si>
    <t>School Fees - Siluni</t>
  </si>
  <si>
    <t>Bopath Ella Trip - Breakfast</t>
  </si>
  <si>
    <t>Bopath Ella Trip - Petrol</t>
  </si>
  <si>
    <t>Bopath Ella Trip - Snacks</t>
  </si>
  <si>
    <t>Ellawala Visit Avurudu Gifts</t>
  </si>
  <si>
    <t>Asmi &amp; Dodol</t>
  </si>
  <si>
    <t>Kids Gifts</t>
  </si>
  <si>
    <t>Mid Week Home Foods</t>
  </si>
  <si>
    <t>Dialog Bill - Mahesh</t>
  </si>
  <si>
    <t>Books</t>
  </si>
  <si>
    <t>Bread</t>
  </si>
  <si>
    <t>Birthday - Ralini</t>
  </si>
  <si>
    <t>School Fees - Ralini</t>
  </si>
  <si>
    <t>RMV Charges</t>
  </si>
  <si>
    <t>IIHS Fees - Shalini</t>
  </si>
  <si>
    <t>Lunch</t>
  </si>
  <si>
    <t>Leasing Arrears - Vezel</t>
  </si>
  <si>
    <t>Birthday Cake - Ralini</t>
  </si>
  <si>
    <t>Shalini Given</t>
  </si>
  <si>
    <t>Exam Treat - Ralini - KFC</t>
  </si>
  <si>
    <t>Extra Lunch</t>
  </si>
  <si>
    <t>Mid week Home Foods</t>
  </si>
  <si>
    <t>May</t>
  </si>
  <si>
    <t>Class Fees - Maths</t>
  </si>
  <si>
    <t>Books for New Term</t>
  </si>
  <si>
    <t>School Threewil 1</t>
  </si>
  <si>
    <t>School Threewil 2</t>
  </si>
  <si>
    <t>Bandarawela Trip</t>
  </si>
  <si>
    <t>Loan Me Arrears -Part 1</t>
  </si>
  <si>
    <t>Sinhala Class Fees</t>
  </si>
  <si>
    <t>DInner</t>
  </si>
  <si>
    <t>Short</t>
  </si>
  <si>
    <t>Anty (10 * 800)</t>
  </si>
  <si>
    <t>Highway Fees</t>
  </si>
  <si>
    <t>Lunch &amp; Dinner</t>
  </si>
  <si>
    <t>DialogM</t>
  </si>
  <si>
    <t>Kwid-BreakPads,HubRazer,LowerArms</t>
  </si>
  <si>
    <t>Kwid Repair-Light</t>
  </si>
  <si>
    <t>Kwid Repair-15w40 Oil</t>
  </si>
  <si>
    <t>Kwid Repair-Lathe</t>
  </si>
  <si>
    <t>Kwid Repair-Seram</t>
  </si>
  <si>
    <t>Birthday - Siluni</t>
  </si>
  <si>
    <t>Class Fees - Sinhala</t>
  </si>
  <si>
    <t>LB Finance Settlement Balance</t>
  </si>
  <si>
    <t>Taxi - Class</t>
  </si>
  <si>
    <t>Taxi - Shalini</t>
  </si>
  <si>
    <t>Mid Week Foods</t>
  </si>
  <si>
    <t>Mid Week Lunch &amp; Dinner</t>
  </si>
  <si>
    <t>Deodrent</t>
  </si>
  <si>
    <t>Breakfast/Lunch</t>
  </si>
  <si>
    <t>Tyre Wheel Brush - Vezel</t>
  </si>
  <si>
    <t>Vezel - Insurance Claim</t>
  </si>
  <si>
    <t>Leasing - KWID</t>
  </si>
  <si>
    <t>KWID - Battery</t>
  </si>
  <si>
    <t>Class Travel - Sinhala</t>
  </si>
  <si>
    <t>Entertainment - Brown Beach &amp; Aiya Visit</t>
  </si>
  <si>
    <t>Taxi Fees - Sudumalli Home</t>
  </si>
  <si>
    <t>Ammi - S - Travel</t>
  </si>
  <si>
    <t>Utility Bills - Telephone</t>
  </si>
  <si>
    <t>Loan Me Arrears -Part 2</t>
  </si>
  <si>
    <t>Gold Loan Interest - LB</t>
  </si>
  <si>
    <t>SMIB - Loans</t>
  </si>
  <si>
    <t>CDB - Vezel - Arrears</t>
  </si>
  <si>
    <t>Anty (8 * 800)+400</t>
  </si>
  <si>
    <t>Utility Bills - CEB</t>
  </si>
  <si>
    <t>Utility Bills - Router</t>
  </si>
  <si>
    <t>Utility Bills -TV</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</si>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</sst>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Rs.-849]\ #,##0"/>
  </numFmts>
  <fonts count="4" x14ac:knownFonts="1">
    <font>
      <sz val="11"/>
      <color theme="1"/>
      <name val="Calibri"/>
      <family val="2"/>
      <scheme val="minor"/>
    </font>
    <font>
      <sz val="11"/>
      <color theme="1"/>
      <name val="Calibri"/>
      <family val="2"/>
      <scheme val="minor"/>
    </font>
    <font>
      <sz val="11"/>
      <name val="Calibri"/>
      <family val="2"/>
      <scheme val="minor"/>
    </font>
    <font>
      <sz val="11"/>
      <color theme="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0" fontId="0" fillId="2" borderId="0" xfId="0" applyFill="1"/>
    <xf numFmtId="0" fontId="0" fillId="3" borderId="0" xfId="0" applyFill="1"/>
    <xf numFmtId="0" fontId="0" fillId="0" borderId="0" xfId="0" pivotButton="1"/>
    <xf numFmtId="0" fontId="0" fillId="0" borderId="0" xfId="0" applyAlignment="1">
      <alignment horizontal="left"/>
    </xf>
    <xf numFmtId="164" fontId="0" fillId="0" borderId="0" xfId="0" applyNumberFormat="1"/>
    <xf numFmtId="0" fontId="0" fillId="4" borderId="0" xfId="0" applyFill="1"/>
    <xf numFmtId="14" fontId="2" fillId="0" borderId="0" xfId="0" applyNumberFormat="1" applyFont="1"/>
    <xf numFmtId="0" fontId="2" fillId="0" borderId="0" xfId="0" applyFont="1"/>
    <xf numFmtId="164" fontId="2" fillId="0" borderId="0" xfId="1" applyNumberFormat="1" applyFont="1"/>
    <xf numFmtId="0" fontId="3" fillId="0" borderId="0" xfId="0" applyFont="1"/>
    <xf numFmtId="164" fontId="0" fillId="0" borderId="0" xfId="0" pivotButton="1" applyNumberFormat="1"/>
    <xf numFmtId="0" fontId="0" fillId="4" borderId="0" xfId="0" applyFill="1" applyProtection="1">
      <protection locked="0"/>
    </xf>
    <xf numFmtId="164" fontId="0" fillId="0" borderId="0" xfId="1" applyNumberFormat="1" applyFont="1"/>
    <xf numFmtId="165" fontId="0" fillId="0" borderId="0" xfId="0" applyNumberFormat="1"/>
    <xf numFmtId="0" fontId="2" fillId="0" borderId="0" xfId="0" applyNumberFormat="1" applyFont="1"/>
  </cellXfs>
  <cellStyles count="2">
    <cellStyle name="Comma" xfId="1" builtinId="3"/>
    <cellStyle name="Normal" xfId="0" builtinId="0"/>
  </cellStyles>
  <dxfs count="69">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font>
        <strike val="0"/>
        <outline val="0"/>
        <shadow val="0"/>
        <u val="none"/>
        <vertAlign val="baseline"/>
        <sz val="11"/>
        <color auto="1"/>
        <name val="Calibri"/>
        <family val="2"/>
        <scheme val="minor"/>
      </font>
      <numFmt numFmtId="164" formatCode="_-* #,##0_-;\-* #,##0_-;_-* &quot;-&quot;??_-;_-@_-"/>
    </dxf>
    <dxf>
      <font>
        <strike val="0"/>
        <outline val="0"/>
        <shadow val="0"/>
        <u val="none"/>
        <vertAlign val="baseline"/>
        <sz val="11"/>
        <color auto="1"/>
        <name val="Calibri"/>
        <family val="2"/>
        <scheme val="minor"/>
      </font>
      <numFmt numFmtId="164" formatCode="_-* #,##0_-;\-* #,##0_-;_-* &quot;-&quot;??_-;_-@_-"/>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0" formatCode="General"/>
    </dxf>
    <dxf>
      <font>
        <strike val="0"/>
        <outline val="0"/>
        <shadow val="0"/>
        <u val="none"/>
        <vertAlign val="baseline"/>
        <sz val="11"/>
        <color auto="1"/>
        <name val="Calibri"/>
        <family val="2"/>
        <scheme val="minor"/>
      </font>
      <numFmt numFmtId="19" formatCode="dd/mm/yyyy"/>
    </dxf>
    <dxf>
      <font>
        <strike val="0"/>
        <outline val="0"/>
        <shadow val="0"/>
        <u val="none"/>
        <vertAlign val="baseline"/>
        <sz val="11"/>
        <color auto="1"/>
        <name val="Calibri"/>
        <family val="2"/>
        <scheme val="minor"/>
      </font>
    </dxf>
    <dxf>
      <font>
        <strike val="0"/>
        <outline val="0"/>
        <shadow val="0"/>
        <u val="none"/>
        <vertAlign val="baseline"/>
        <sz val="11"/>
        <color theme="0"/>
        <name val="Calibri"/>
        <family val="2"/>
        <scheme val="minor"/>
      </font>
    </dxf>
  </dxfs>
  <tableStyles count="0" defaultTableStyle="TableStyleMedium2" defaultPivotStyle="PivotStyleLight16"/>
  <colors>
    <mruColors>
      <color rgb="FF00D0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Expense.xlsx]Pivots!ExpenseCategory</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Expense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Pivots!$A$42:$A$65</c:f>
              <c:strCache>
                <c:ptCount val="23"/>
                <c:pt idx="0">
                  <c:v>Beauty/salon</c:v>
                </c:pt>
                <c:pt idx="1">
                  <c:v>Books/Stationary</c:v>
                </c:pt>
                <c:pt idx="2">
                  <c:v>Class Fees</c:v>
                </c:pt>
                <c:pt idx="3">
                  <c:v>⁠Clothings</c:v>
                </c:pt>
                <c:pt idx="4">
                  <c:v>Electricity</c:v>
                </c:pt>
                <c:pt idx="5">
                  <c:v>Entertainment</c:v>
                </c:pt>
                <c:pt idx="6">
                  <c:v>Exam Fees</c:v>
                </c:pt>
                <c:pt idx="7">
                  <c:v>Gas</c:v>
                </c:pt>
                <c:pt idx="8">
                  <c:v>Groceries/Snacks</c:v>
                </c:pt>
                <c:pt idx="9">
                  <c:v>Interest</c:v>
                </c:pt>
                <c:pt idx="10">
                  <c:v>Internet/Phones</c:v>
                </c:pt>
                <c:pt idx="11">
                  <c:v>Licence/Insurance</c:v>
                </c:pt>
                <c:pt idx="12">
                  <c:v>Loan/Lease</c:v>
                </c:pt>
                <c:pt idx="13">
                  <c:v>Lunch/Dinner</c:v>
                </c:pt>
                <c:pt idx="14">
                  <c:v>Medical</c:v>
                </c:pt>
                <c:pt idx="15">
                  <c:v>Popi/Tabi🐕</c:v>
                </c:pt>
                <c:pt idx="16">
                  <c:v>School Fees</c:v>
                </c:pt>
                <c:pt idx="17">
                  <c:v>Servent</c:v>
                </c:pt>
                <c:pt idx="18">
                  <c:v>Sundry</c:v>
                </c:pt>
                <c:pt idx="19">
                  <c:v>Transport/Petrol</c:v>
                </c:pt>
                <c:pt idx="20">
                  <c:v>Tyre/Battery</c:v>
                </c:pt>
                <c:pt idx="21">
                  <c:v>Vehicle Repair</c:v>
                </c:pt>
                <c:pt idx="22">
                  <c:v>Water</c:v>
                </c:pt>
              </c:strCache>
            </c:strRef>
          </c:cat>
          <c:val>
            <c:numRef>
              <c:f>Pivots!$B$42:$B$65</c:f>
              <c:numCache>
                <c:formatCode>_-* #,##0_-;\-* #,##0_-;_-* "-"??_-;_-@_-</c:formatCode>
                <c:ptCount val="23"/>
                <c:pt idx="0">
                  <c:v>3477.88</c:v>
                </c:pt>
                <c:pt idx="1">
                  <c:v>12085</c:v>
                </c:pt>
                <c:pt idx="2">
                  <c:v>159058</c:v>
                </c:pt>
                <c:pt idx="3">
                  <c:v>8740</c:v>
                </c:pt>
                <c:pt idx="4">
                  <c:v>22690.720000000001</c:v>
                </c:pt>
                <c:pt idx="5">
                  <c:v>56563</c:v>
                </c:pt>
                <c:pt idx="6">
                  <c:v>10000</c:v>
                </c:pt>
                <c:pt idx="7">
                  <c:v>9674</c:v>
                </c:pt>
                <c:pt idx="8">
                  <c:v>316134</c:v>
                </c:pt>
                <c:pt idx="9">
                  <c:v>90769.47</c:v>
                </c:pt>
                <c:pt idx="10">
                  <c:v>43064.51</c:v>
                </c:pt>
                <c:pt idx="11">
                  <c:v>41372</c:v>
                </c:pt>
                <c:pt idx="12">
                  <c:v>656054</c:v>
                </c:pt>
                <c:pt idx="13">
                  <c:v>45473</c:v>
                </c:pt>
                <c:pt idx="14">
                  <c:v>7500</c:v>
                </c:pt>
                <c:pt idx="15">
                  <c:v>4768</c:v>
                </c:pt>
                <c:pt idx="16">
                  <c:v>91885</c:v>
                </c:pt>
                <c:pt idx="17">
                  <c:v>93250</c:v>
                </c:pt>
                <c:pt idx="18">
                  <c:v>64001</c:v>
                </c:pt>
                <c:pt idx="19">
                  <c:v>149247</c:v>
                </c:pt>
                <c:pt idx="20">
                  <c:v>70200</c:v>
                </c:pt>
                <c:pt idx="21">
                  <c:v>311550</c:v>
                </c:pt>
                <c:pt idx="22">
                  <c:v>18400.22</c:v>
                </c:pt>
              </c:numCache>
            </c:numRef>
          </c:val>
          <c:extLst>
            <c:ext xmlns:c16="http://schemas.microsoft.com/office/drawing/2014/chart" uri="{C3380CC4-5D6E-409C-BE32-E72D297353CC}">
              <c16:uniqueId val="{00000000-510D-42D1-AD21-6F76B4BB4B0D}"/>
            </c:ext>
          </c:extLst>
        </c:ser>
        <c:dLbls>
          <c:dLblPos val="outEnd"/>
          <c:showLegendKey val="0"/>
          <c:showVal val="1"/>
          <c:showCatName val="0"/>
          <c:showSerName val="0"/>
          <c:showPercent val="0"/>
          <c:showBubbleSize val="0"/>
        </c:dLbls>
        <c:gapWidth val="115"/>
        <c:overlap val="-20"/>
        <c:axId val="386557096"/>
        <c:axId val="386555296"/>
      </c:barChart>
      <c:catAx>
        <c:axId val="3865570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555296"/>
        <c:crosses val="autoZero"/>
        <c:auto val="1"/>
        <c:lblAlgn val="ctr"/>
        <c:lblOffset val="100"/>
        <c:noMultiLvlLbl val="0"/>
      </c:catAx>
      <c:valAx>
        <c:axId val="386555296"/>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557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Expense.xlsx]Pivots!ExpenseCategory</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Expense</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Pivots!$B$41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3C-47E5-97B6-F0C7DBAA93F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3C-47E5-97B6-F0C7DBAA93F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3C-47E5-97B6-F0C7DBAA93F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3C-47E5-97B6-F0C7DBAA93F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83C-47E5-97B6-F0C7DBAA93F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83C-47E5-97B6-F0C7DBAA93F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83C-47E5-97B6-F0C7DBAA93F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83C-47E5-97B6-F0C7DBAA93F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83C-47E5-97B6-F0C7DBAA93F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83C-47E5-97B6-F0C7DBAA93F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83C-47E5-97B6-F0C7DBAA93F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83C-47E5-97B6-F0C7DBAA93F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E83C-47E5-97B6-F0C7DBAA93F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E83C-47E5-97B6-F0C7DBAA93F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E83C-47E5-97B6-F0C7DBAA93F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E83C-47E5-97B6-F0C7DBAA93F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E83C-47E5-97B6-F0C7DBAA93F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E83C-47E5-97B6-F0C7DBAA93F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E65A-44A8-9564-71E2E44F5266}"/>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2CC-431E-A60F-5E9EC6AB93E8}"/>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02F-4169-AFD7-3901C80D7CCD}"/>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F02F-4169-AFD7-3901C80D7CCD}"/>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E5D8-4F1A-9896-9101E2EF5C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Pivots!$A$42:$A$65</c:f>
              <c:strCache>
                <c:ptCount val="23"/>
                <c:pt idx="0">
                  <c:v>Beauty/salon</c:v>
                </c:pt>
                <c:pt idx="1">
                  <c:v>Books/Stationary</c:v>
                </c:pt>
                <c:pt idx="2">
                  <c:v>Class Fees</c:v>
                </c:pt>
                <c:pt idx="3">
                  <c:v>⁠Clothings</c:v>
                </c:pt>
                <c:pt idx="4">
                  <c:v>Electricity</c:v>
                </c:pt>
                <c:pt idx="5">
                  <c:v>Entertainment</c:v>
                </c:pt>
                <c:pt idx="6">
                  <c:v>Exam Fees</c:v>
                </c:pt>
                <c:pt idx="7">
                  <c:v>Gas</c:v>
                </c:pt>
                <c:pt idx="8">
                  <c:v>Groceries/Snacks</c:v>
                </c:pt>
                <c:pt idx="9">
                  <c:v>Interest</c:v>
                </c:pt>
                <c:pt idx="10">
                  <c:v>Internet/Phones</c:v>
                </c:pt>
                <c:pt idx="11">
                  <c:v>Licence/Insurance</c:v>
                </c:pt>
                <c:pt idx="12">
                  <c:v>Loan/Lease</c:v>
                </c:pt>
                <c:pt idx="13">
                  <c:v>Lunch/Dinner</c:v>
                </c:pt>
                <c:pt idx="14">
                  <c:v>Medical</c:v>
                </c:pt>
                <c:pt idx="15">
                  <c:v>Popi/Tabi🐕</c:v>
                </c:pt>
                <c:pt idx="16">
                  <c:v>School Fees</c:v>
                </c:pt>
                <c:pt idx="17">
                  <c:v>Servent</c:v>
                </c:pt>
                <c:pt idx="18">
                  <c:v>Sundry</c:v>
                </c:pt>
                <c:pt idx="19">
                  <c:v>Transport/Petrol</c:v>
                </c:pt>
                <c:pt idx="20">
                  <c:v>Tyre/Battery</c:v>
                </c:pt>
                <c:pt idx="21">
                  <c:v>Vehicle Repair</c:v>
                </c:pt>
                <c:pt idx="22">
                  <c:v>Water</c:v>
                </c:pt>
              </c:strCache>
            </c:strRef>
          </c:cat>
          <c:val>
            <c:numRef>
              <c:f>Pivots!$B$42:$B$65</c:f>
              <c:numCache>
                <c:formatCode>_-* #,##0_-;\-* #,##0_-;_-* "-"??_-;_-@_-</c:formatCode>
                <c:ptCount val="23"/>
                <c:pt idx="0">
                  <c:v>3477.88</c:v>
                </c:pt>
                <c:pt idx="1">
                  <c:v>12085</c:v>
                </c:pt>
                <c:pt idx="2">
                  <c:v>159058</c:v>
                </c:pt>
                <c:pt idx="3">
                  <c:v>8740</c:v>
                </c:pt>
                <c:pt idx="4">
                  <c:v>22690.720000000001</c:v>
                </c:pt>
                <c:pt idx="5">
                  <c:v>56563</c:v>
                </c:pt>
                <c:pt idx="6">
                  <c:v>10000</c:v>
                </c:pt>
                <c:pt idx="7">
                  <c:v>9674</c:v>
                </c:pt>
                <c:pt idx="8">
                  <c:v>316134</c:v>
                </c:pt>
                <c:pt idx="9">
                  <c:v>90769.47</c:v>
                </c:pt>
                <c:pt idx="10">
                  <c:v>43064.51</c:v>
                </c:pt>
                <c:pt idx="11">
                  <c:v>41372</c:v>
                </c:pt>
                <c:pt idx="12">
                  <c:v>656054</c:v>
                </c:pt>
                <c:pt idx="13">
                  <c:v>45473</c:v>
                </c:pt>
                <c:pt idx="14">
                  <c:v>7500</c:v>
                </c:pt>
                <c:pt idx="15">
                  <c:v>4768</c:v>
                </c:pt>
                <c:pt idx="16">
                  <c:v>91885</c:v>
                </c:pt>
                <c:pt idx="17">
                  <c:v>93250</c:v>
                </c:pt>
                <c:pt idx="18">
                  <c:v>64001</c:v>
                </c:pt>
                <c:pt idx="19">
                  <c:v>149247</c:v>
                </c:pt>
                <c:pt idx="20">
                  <c:v>70200</c:v>
                </c:pt>
                <c:pt idx="21">
                  <c:v>311550</c:v>
                </c:pt>
                <c:pt idx="22">
                  <c:v>18400.22</c:v>
                </c:pt>
              </c:numCache>
            </c:numRef>
          </c:val>
          <c:extLst>
            <c:ext xmlns:c16="http://schemas.microsoft.com/office/drawing/2014/chart" uri="{C3380CC4-5D6E-409C-BE32-E72D297353CC}">
              <c16:uniqueId val="{00000028-9961-44D1-93BB-444390CF0779}"/>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l"/>
      <c:layout>
        <c:manualLayout>
          <c:xMode val="edge"/>
          <c:yMode val="edge"/>
          <c:x val="1.3513511116991006E-2"/>
          <c:y val="4.0483554318059611E-2"/>
          <c:w val="0.18519539880907307"/>
          <c:h val="0.891320531363714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Expense.xlsx]Pivots!ExpenseDays</c:name>
    <c:fmtId val="7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Expense Monthly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Pivots!$B$100:$B$101</c:f>
              <c:strCache>
                <c:ptCount val="1"/>
                <c:pt idx="0">
                  <c:v>Lunch/Dinner</c:v>
                </c:pt>
              </c:strCache>
            </c:strRef>
          </c:tx>
          <c:spPr>
            <a:solidFill>
              <a:schemeClr val="accent1"/>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Pivots!$B$102:$B$108</c:f>
              <c:numCache>
                <c:formatCode>_-* #,##0_-;\-* #,##0_-;_-* "-"??_-;_-@_-</c:formatCode>
                <c:ptCount val="6"/>
                <c:pt idx="0">
                  <c:v>8500</c:v>
                </c:pt>
                <c:pt idx="1">
                  <c:v>6380</c:v>
                </c:pt>
                <c:pt idx="2">
                  <c:v>6550</c:v>
                </c:pt>
                <c:pt idx="3">
                  <c:v>9210</c:v>
                </c:pt>
                <c:pt idx="4">
                  <c:v>10925</c:v>
                </c:pt>
                <c:pt idx="5">
                  <c:v>3908</c:v>
                </c:pt>
              </c:numCache>
            </c:numRef>
          </c:val>
          <c:extLst>
            <c:ext xmlns:c16="http://schemas.microsoft.com/office/drawing/2014/chart" uri="{C3380CC4-5D6E-409C-BE32-E72D297353CC}">
              <c16:uniqueId val="{0000000F-6596-4EA3-8753-AEB5AFCA536D}"/>
            </c:ext>
          </c:extLst>
        </c:ser>
        <c:ser>
          <c:idx val="1"/>
          <c:order val="1"/>
          <c:tx>
            <c:strRef>
              <c:f>Pivots!$C$100:$C$101</c:f>
              <c:strCache>
                <c:ptCount val="1"/>
                <c:pt idx="0">
                  <c:v>Transport/Petrol</c:v>
                </c:pt>
              </c:strCache>
            </c:strRef>
          </c:tx>
          <c:spPr>
            <a:solidFill>
              <a:schemeClr val="accent2"/>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Pivots!$C$102:$C$108</c:f>
              <c:numCache>
                <c:formatCode>_-* #,##0_-;\-* #,##0_-;_-* "-"??_-;_-@_-</c:formatCode>
                <c:ptCount val="6"/>
                <c:pt idx="0">
                  <c:v>30200</c:v>
                </c:pt>
                <c:pt idx="1">
                  <c:v>25705</c:v>
                </c:pt>
                <c:pt idx="2">
                  <c:v>30020</c:v>
                </c:pt>
                <c:pt idx="3">
                  <c:v>13525</c:v>
                </c:pt>
                <c:pt idx="4">
                  <c:v>31012</c:v>
                </c:pt>
                <c:pt idx="5">
                  <c:v>18785</c:v>
                </c:pt>
              </c:numCache>
            </c:numRef>
          </c:val>
          <c:extLst>
            <c:ext xmlns:c16="http://schemas.microsoft.com/office/drawing/2014/chart" uri="{C3380CC4-5D6E-409C-BE32-E72D297353CC}">
              <c16:uniqueId val="{00000011-0992-4C1D-97A3-8659CE336528}"/>
            </c:ext>
          </c:extLst>
        </c:ser>
        <c:ser>
          <c:idx val="2"/>
          <c:order val="2"/>
          <c:tx>
            <c:strRef>
              <c:f>Pivots!$D$100:$D$101</c:f>
              <c:strCache>
                <c:ptCount val="1"/>
                <c:pt idx="0">
                  <c:v>Electricity</c:v>
                </c:pt>
              </c:strCache>
            </c:strRef>
          </c:tx>
          <c:spPr>
            <a:solidFill>
              <a:schemeClr val="accent3"/>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Pivots!$D$102:$D$108</c:f>
              <c:numCache>
                <c:formatCode>_-* #,##0_-;\-* #,##0_-;_-* "-"??_-;_-@_-</c:formatCode>
                <c:ptCount val="6"/>
                <c:pt idx="0">
                  <c:v>5010</c:v>
                </c:pt>
                <c:pt idx="1">
                  <c:v>4626</c:v>
                </c:pt>
                <c:pt idx="2">
                  <c:v>4963.34</c:v>
                </c:pt>
                <c:pt idx="3">
                  <c:v>4307.38</c:v>
                </c:pt>
                <c:pt idx="4">
                  <c:v>3784</c:v>
                </c:pt>
              </c:numCache>
            </c:numRef>
          </c:val>
          <c:extLst>
            <c:ext xmlns:c16="http://schemas.microsoft.com/office/drawing/2014/chart" uri="{C3380CC4-5D6E-409C-BE32-E72D297353CC}">
              <c16:uniqueId val="{00000012-0992-4C1D-97A3-8659CE336528}"/>
            </c:ext>
          </c:extLst>
        </c:ser>
        <c:ser>
          <c:idx val="3"/>
          <c:order val="3"/>
          <c:tx>
            <c:strRef>
              <c:f>Pivots!$E$100:$E$101</c:f>
              <c:strCache>
                <c:ptCount val="1"/>
                <c:pt idx="0">
                  <c:v>Water</c:v>
                </c:pt>
              </c:strCache>
            </c:strRef>
          </c:tx>
          <c:spPr>
            <a:solidFill>
              <a:schemeClr val="accent4"/>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Pivots!$E$102:$E$108</c:f>
              <c:numCache>
                <c:formatCode>_-* #,##0_-;\-* #,##0_-;_-* "-"??_-;_-@_-</c:formatCode>
                <c:ptCount val="6"/>
                <c:pt idx="0">
                  <c:v>3971.98</c:v>
                </c:pt>
                <c:pt idx="1">
                  <c:v>4000</c:v>
                </c:pt>
                <c:pt idx="2">
                  <c:v>3878.48</c:v>
                </c:pt>
                <c:pt idx="3">
                  <c:v>2792.17</c:v>
                </c:pt>
                <c:pt idx="4">
                  <c:v>3757.59</c:v>
                </c:pt>
              </c:numCache>
            </c:numRef>
          </c:val>
          <c:extLst>
            <c:ext xmlns:c16="http://schemas.microsoft.com/office/drawing/2014/chart" uri="{C3380CC4-5D6E-409C-BE32-E72D297353CC}">
              <c16:uniqueId val="{0000000B-7E5D-4E20-8921-59687CA49205}"/>
            </c:ext>
          </c:extLst>
        </c:ser>
        <c:ser>
          <c:idx val="4"/>
          <c:order val="4"/>
          <c:tx>
            <c:strRef>
              <c:f>Pivots!$F$100:$F$101</c:f>
              <c:strCache>
                <c:ptCount val="1"/>
                <c:pt idx="0">
                  <c:v>Gas</c:v>
                </c:pt>
              </c:strCache>
            </c:strRef>
          </c:tx>
          <c:spPr>
            <a:solidFill>
              <a:schemeClr val="accent5"/>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Pivots!$F$102:$F$108</c:f>
              <c:numCache>
                <c:formatCode>_-* #,##0_-;\-* #,##0_-;_-* "-"??_-;_-@_-</c:formatCode>
                <c:ptCount val="6"/>
                <c:pt idx="0">
                  <c:v>3700</c:v>
                </c:pt>
                <c:pt idx="2">
                  <c:v>1389</c:v>
                </c:pt>
                <c:pt idx="3">
                  <c:v>3890</c:v>
                </c:pt>
                <c:pt idx="4">
                  <c:v>695</c:v>
                </c:pt>
              </c:numCache>
            </c:numRef>
          </c:val>
          <c:extLst>
            <c:ext xmlns:c16="http://schemas.microsoft.com/office/drawing/2014/chart" uri="{C3380CC4-5D6E-409C-BE32-E72D297353CC}">
              <c16:uniqueId val="{0000000C-7E5D-4E20-8921-59687CA49205}"/>
            </c:ext>
          </c:extLst>
        </c:ser>
        <c:ser>
          <c:idx val="5"/>
          <c:order val="5"/>
          <c:tx>
            <c:strRef>
              <c:f>Pivots!$G$100:$G$101</c:f>
              <c:strCache>
                <c:ptCount val="1"/>
                <c:pt idx="0">
                  <c:v>Internet/Phones</c:v>
                </c:pt>
              </c:strCache>
            </c:strRef>
          </c:tx>
          <c:spPr>
            <a:solidFill>
              <a:schemeClr val="accent6"/>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Pivots!$G$102:$G$108</c:f>
              <c:numCache>
                <c:formatCode>_-* #,##0_-;\-* #,##0_-;_-* "-"??_-;_-@_-</c:formatCode>
                <c:ptCount val="6"/>
                <c:pt idx="0">
                  <c:v>7935.3799999999992</c:v>
                </c:pt>
                <c:pt idx="1">
                  <c:v>6459.17</c:v>
                </c:pt>
                <c:pt idx="2">
                  <c:v>7723.1900000000005</c:v>
                </c:pt>
                <c:pt idx="3">
                  <c:v>6868.23</c:v>
                </c:pt>
                <c:pt idx="4">
                  <c:v>7195.73</c:v>
                </c:pt>
                <c:pt idx="5">
                  <c:v>6882.8099999999995</c:v>
                </c:pt>
              </c:numCache>
            </c:numRef>
          </c:val>
          <c:extLst>
            <c:ext xmlns:c16="http://schemas.microsoft.com/office/drawing/2014/chart" uri="{C3380CC4-5D6E-409C-BE32-E72D297353CC}">
              <c16:uniqueId val="{0000000D-7E5D-4E20-8921-59687CA49205}"/>
            </c:ext>
          </c:extLst>
        </c:ser>
        <c:ser>
          <c:idx val="6"/>
          <c:order val="6"/>
          <c:tx>
            <c:strRef>
              <c:f>Pivots!$H$100:$H$101</c:f>
              <c:strCache>
                <c:ptCount val="1"/>
                <c:pt idx="0">
                  <c:v>Books/Stationary</c:v>
                </c:pt>
              </c:strCache>
            </c:strRef>
          </c:tx>
          <c:spPr>
            <a:solidFill>
              <a:schemeClr val="accent1">
                <a:lumMod val="6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Pivots!$H$102:$H$108</c:f>
              <c:numCache>
                <c:formatCode>_-* #,##0_-;\-* #,##0_-;_-* "-"??_-;_-@_-</c:formatCode>
                <c:ptCount val="6"/>
                <c:pt idx="0">
                  <c:v>2600</c:v>
                </c:pt>
                <c:pt idx="1">
                  <c:v>6940</c:v>
                </c:pt>
                <c:pt idx="2">
                  <c:v>420</c:v>
                </c:pt>
                <c:pt idx="3">
                  <c:v>350</c:v>
                </c:pt>
                <c:pt idx="4">
                  <c:v>1775</c:v>
                </c:pt>
              </c:numCache>
            </c:numRef>
          </c:val>
          <c:extLst>
            <c:ext xmlns:c16="http://schemas.microsoft.com/office/drawing/2014/chart" uri="{C3380CC4-5D6E-409C-BE32-E72D297353CC}">
              <c16:uniqueId val="{0000000E-7E5D-4E20-8921-59687CA49205}"/>
            </c:ext>
          </c:extLst>
        </c:ser>
        <c:ser>
          <c:idx val="7"/>
          <c:order val="7"/>
          <c:tx>
            <c:strRef>
              <c:f>Pivots!$I$100:$I$101</c:f>
              <c:strCache>
                <c:ptCount val="1"/>
                <c:pt idx="0">
                  <c:v>Class Fees</c:v>
                </c:pt>
              </c:strCache>
            </c:strRef>
          </c:tx>
          <c:spPr>
            <a:solidFill>
              <a:schemeClr val="accent2">
                <a:lumMod val="6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Pivots!$I$102:$I$108</c:f>
              <c:numCache>
                <c:formatCode>_-* #,##0_-;\-* #,##0_-;_-* "-"??_-;_-@_-</c:formatCode>
                <c:ptCount val="6"/>
                <c:pt idx="0">
                  <c:v>26058</c:v>
                </c:pt>
                <c:pt idx="1">
                  <c:v>54000</c:v>
                </c:pt>
                <c:pt idx="2">
                  <c:v>18000</c:v>
                </c:pt>
                <c:pt idx="3">
                  <c:v>50000</c:v>
                </c:pt>
                <c:pt idx="4">
                  <c:v>6000</c:v>
                </c:pt>
                <c:pt idx="5">
                  <c:v>5000</c:v>
                </c:pt>
              </c:numCache>
            </c:numRef>
          </c:val>
          <c:extLst>
            <c:ext xmlns:c16="http://schemas.microsoft.com/office/drawing/2014/chart" uri="{C3380CC4-5D6E-409C-BE32-E72D297353CC}">
              <c16:uniqueId val="{0000001E-7E5D-4E20-8921-59687CA49205}"/>
            </c:ext>
          </c:extLst>
        </c:ser>
        <c:ser>
          <c:idx val="8"/>
          <c:order val="8"/>
          <c:tx>
            <c:strRef>
              <c:f>Pivots!$J$100:$J$101</c:f>
              <c:strCache>
                <c:ptCount val="1"/>
                <c:pt idx="0">
                  <c:v>Medical</c:v>
                </c:pt>
              </c:strCache>
            </c:strRef>
          </c:tx>
          <c:spPr>
            <a:solidFill>
              <a:schemeClr val="accent3">
                <a:lumMod val="6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Pivots!$J$102:$J$108</c:f>
              <c:numCache>
                <c:formatCode>_-* #,##0_-;\-* #,##0_-;_-* "-"??_-;_-@_-</c:formatCode>
                <c:ptCount val="6"/>
                <c:pt idx="0">
                  <c:v>1000</c:v>
                </c:pt>
                <c:pt idx="1">
                  <c:v>6500</c:v>
                </c:pt>
              </c:numCache>
            </c:numRef>
          </c:val>
          <c:extLst>
            <c:ext xmlns:c16="http://schemas.microsoft.com/office/drawing/2014/chart" uri="{C3380CC4-5D6E-409C-BE32-E72D297353CC}">
              <c16:uniqueId val="{0000001F-7E5D-4E20-8921-59687CA49205}"/>
            </c:ext>
          </c:extLst>
        </c:ser>
        <c:ser>
          <c:idx val="9"/>
          <c:order val="9"/>
          <c:tx>
            <c:strRef>
              <c:f>Pivots!$K$100:$K$101</c:f>
              <c:strCache>
                <c:ptCount val="1"/>
                <c:pt idx="0">
                  <c:v>⁠Clothings</c:v>
                </c:pt>
              </c:strCache>
            </c:strRef>
          </c:tx>
          <c:spPr>
            <a:solidFill>
              <a:schemeClr val="accent4">
                <a:lumMod val="6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Pivots!$K$102:$K$108</c:f>
              <c:numCache>
                <c:formatCode>_-* #,##0_-;\-* #,##0_-;_-* "-"??_-;_-@_-</c:formatCode>
                <c:ptCount val="6"/>
                <c:pt idx="1">
                  <c:v>1000</c:v>
                </c:pt>
                <c:pt idx="2">
                  <c:v>4650</c:v>
                </c:pt>
                <c:pt idx="3">
                  <c:v>3090</c:v>
                </c:pt>
              </c:numCache>
            </c:numRef>
          </c:val>
          <c:extLst>
            <c:ext xmlns:c16="http://schemas.microsoft.com/office/drawing/2014/chart" uri="{C3380CC4-5D6E-409C-BE32-E72D297353CC}">
              <c16:uniqueId val="{00000020-7E5D-4E20-8921-59687CA49205}"/>
            </c:ext>
          </c:extLst>
        </c:ser>
        <c:ser>
          <c:idx val="10"/>
          <c:order val="10"/>
          <c:tx>
            <c:strRef>
              <c:f>Pivots!$L$100:$L$101</c:f>
              <c:strCache>
                <c:ptCount val="1"/>
                <c:pt idx="0">
                  <c:v>Entertainment</c:v>
                </c:pt>
              </c:strCache>
            </c:strRef>
          </c:tx>
          <c:spPr>
            <a:solidFill>
              <a:schemeClr val="accent5">
                <a:lumMod val="6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Pivots!$L$102:$L$108</c:f>
              <c:numCache>
                <c:formatCode>_-* #,##0_-;\-* #,##0_-;_-* "-"??_-;_-@_-</c:formatCode>
                <c:ptCount val="6"/>
                <c:pt idx="0">
                  <c:v>3500</c:v>
                </c:pt>
                <c:pt idx="3">
                  <c:v>18179</c:v>
                </c:pt>
                <c:pt idx="4">
                  <c:v>32284</c:v>
                </c:pt>
                <c:pt idx="5">
                  <c:v>2600</c:v>
                </c:pt>
              </c:numCache>
            </c:numRef>
          </c:val>
          <c:extLst>
            <c:ext xmlns:c16="http://schemas.microsoft.com/office/drawing/2014/chart" uri="{C3380CC4-5D6E-409C-BE32-E72D297353CC}">
              <c16:uniqueId val="{00000021-7E5D-4E20-8921-59687CA49205}"/>
            </c:ext>
          </c:extLst>
        </c:ser>
        <c:ser>
          <c:idx val="11"/>
          <c:order val="11"/>
          <c:tx>
            <c:strRef>
              <c:f>Pivots!$M$100:$M$101</c:f>
              <c:strCache>
                <c:ptCount val="1"/>
                <c:pt idx="0">
                  <c:v>Sundry</c:v>
                </c:pt>
              </c:strCache>
            </c:strRef>
          </c:tx>
          <c:spPr>
            <a:solidFill>
              <a:schemeClr val="accent6">
                <a:lumMod val="6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Pivots!$M$102:$M$108</c:f>
              <c:numCache>
                <c:formatCode>_-* #,##0_-;\-* #,##0_-;_-* "-"??_-;_-@_-</c:formatCode>
                <c:ptCount val="6"/>
                <c:pt idx="0">
                  <c:v>3100</c:v>
                </c:pt>
                <c:pt idx="1">
                  <c:v>10058</c:v>
                </c:pt>
                <c:pt idx="2">
                  <c:v>37313</c:v>
                </c:pt>
                <c:pt idx="3">
                  <c:v>2450</c:v>
                </c:pt>
                <c:pt idx="4">
                  <c:v>11080</c:v>
                </c:pt>
              </c:numCache>
            </c:numRef>
          </c:val>
          <c:extLst>
            <c:ext xmlns:c16="http://schemas.microsoft.com/office/drawing/2014/chart" uri="{C3380CC4-5D6E-409C-BE32-E72D297353CC}">
              <c16:uniqueId val="{00000022-7E5D-4E20-8921-59687CA49205}"/>
            </c:ext>
          </c:extLst>
        </c:ser>
        <c:ser>
          <c:idx val="12"/>
          <c:order val="12"/>
          <c:tx>
            <c:strRef>
              <c:f>Pivots!$N$100:$N$101</c:f>
              <c:strCache>
                <c:ptCount val="1"/>
                <c:pt idx="0">
                  <c:v>Servent</c:v>
                </c:pt>
              </c:strCache>
            </c:strRef>
          </c:tx>
          <c:spPr>
            <a:solidFill>
              <a:schemeClr val="accent1">
                <a:lumMod val="80000"/>
                <a:lumOff val="2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Pivots!$N$102:$N$108</c:f>
              <c:numCache>
                <c:formatCode>_-* #,##0_-;\-* #,##0_-;_-* "-"??_-;_-@_-</c:formatCode>
                <c:ptCount val="6"/>
                <c:pt idx="0">
                  <c:v>20250</c:v>
                </c:pt>
                <c:pt idx="1">
                  <c:v>16000</c:v>
                </c:pt>
                <c:pt idx="2">
                  <c:v>15600</c:v>
                </c:pt>
                <c:pt idx="3">
                  <c:v>18600</c:v>
                </c:pt>
                <c:pt idx="4">
                  <c:v>16000</c:v>
                </c:pt>
                <c:pt idx="5">
                  <c:v>6800</c:v>
                </c:pt>
              </c:numCache>
            </c:numRef>
          </c:val>
          <c:extLst>
            <c:ext xmlns:c16="http://schemas.microsoft.com/office/drawing/2014/chart" uri="{C3380CC4-5D6E-409C-BE32-E72D297353CC}">
              <c16:uniqueId val="{00000001-D140-438B-B788-2292EBE92CA5}"/>
            </c:ext>
          </c:extLst>
        </c:ser>
        <c:ser>
          <c:idx val="13"/>
          <c:order val="13"/>
          <c:tx>
            <c:strRef>
              <c:f>Pivots!$O$100:$O$101</c:f>
              <c:strCache>
                <c:ptCount val="1"/>
                <c:pt idx="0">
                  <c:v>Vehicle Repair</c:v>
                </c:pt>
              </c:strCache>
            </c:strRef>
          </c:tx>
          <c:spPr>
            <a:solidFill>
              <a:schemeClr val="accent2">
                <a:lumMod val="80000"/>
                <a:lumOff val="2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Pivots!$O$102:$O$108</c:f>
              <c:numCache>
                <c:formatCode>_-* #,##0_-;\-* #,##0_-;_-* "-"??_-;_-@_-</c:formatCode>
                <c:ptCount val="6"/>
                <c:pt idx="1">
                  <c:v>131200</c:v>
                </c:pt>
                <c:pt idx="2">
                  <c:v>40300</c:v>
                </c:pt>
                <c:pt idx="3">
                  <c:v>97250</c:v>
                </c:pt>
                <c:pt idx="4">
                  <c:v>42800</c:v>
                </c:pt>
              </c:numCache>
            </c:numRef>
          </c:val>
          <c:extLst>
            <c:ext xmlns:c16="http://schemas.microsoft.com/office/drawing/2014/chart" uri="{C3380CC4-5D6E-409C-BE32-E72D297353CC}">
              <c16:uniqueId val="{00000002-D140-438B-B788-2292EBE92CA5}"/>
            </c:ext>
          </c:extLst>
        </c:ser>
        <c:ser>
          <c:idx val="14"/>
          <c:order val="14"/>
          <c:tx>
            <c:strRef>
              <c:f>Pivots!$P$100:$P$101</c:f>
              <c:strCache>
                <c:ptCount val="1"/>
                <c:pt idx="0">
                  <c:v>Groceries/Snacks</c:v>
                </c:pt>
              </c:strCache>
            </c:strRef>
          </c:tx>
          <c:spPr>
            <a:solidFill>
              <a:schemeClr val="accent3">
                <a:lumMod val="80000"/>
                <a:lumOff val="2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Pivots!$P$102:$P$108</c:f>
              <c:numCache>
                <c:formatCode>_-* #,##0_-;\-* #,##0_-;_-* "-"??_-;_-@_-</c:formatCode>
                <c:ptCount val="6"/>
                <c:pt idx="0">
                  <c:v>64121</c:v>
                </c:pt>
                <c:pt idx="1">
                  <c:v>37450</c:v>
                </c:pt>
                <c:pt idx="2">
                  <c:v>61017.22</c:v>
                </c:pt>
                <c:pt idx="3">
                  <c:v>54291</c:v>
                </c:pt>
                <c:pt idx="4">
                  <c:v>64501.18</c:v>
                </c:pt>
                <c:pt idx="5">
                  <c:v>34753.599999999999</c:v>
                </c:pt>
              </c:numCache>
            </c:numRef>
          </c:val>
          <c:extLst>
            <c:ext xmlns:c16="http://schemas.microsoft.com/office/drawing/2014/chart" uri="{C3380CC4-5D6E-409C-BE32-E72D297353CC}">
              <c16:uniqueId val="{00000003-D140-438B-B788-2292EBE92CA5}"/>
            </c:ext>
          </c:extLst>
        </c:ser>
        <c:ser>
          <c:idx val="15"/>
          <c:order val="15"/>
          <c:tx>
            <c:strRef>
              <c:f>Pivots!$Q$100:$Q$101</c:f>
              <c:strCache>
                <c:ptCount val="1"/>
                <c:pt idx="0">
                  <c:v>Interest</c:v>
                </c:pt>
              </c:strCache>
            </c:strRef>
          </c:tx>
          <c:spPr>
            <a:solidFill>
              <a:schemeClr val="accent4">
                <a:lumMod val="80000"/>
                <a:lumOff val="2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Pivots!$Q$102:$Q$108</c:f>
              <c:numCache>
                <c:formatCode>_-* #,##0_-;\-* #,##0_-;_-* "-"??_-;_-@_-</c:formatCode>
                <c:ptCount val="6"/>
                <c:pt idx="0">
                  <c:v>26769.47</c:v>
                </c:pt>
                <c:pt idx="1">
                  <c:v>10500</c:v>
                </c:pt>
                <c:pt idx="2">
                  <c:v>10500</c:v>
                </c:pt>
                <c:pt idx="3">
                  <c:v>10500</c:v>
                </c:pt>
                <c:pt idx="4">
                  <c:v>10500</c:v>
                </c:pt>
                <c:pt idx="5">
                  <c:v>22000</c:v>
                </c:pt>
              </c:numCache>
            </c:numRef>
          </c:val>
          <c:extLst>
            <c:ext xmlns:c16="http://schemas.microsoft.com/office/drawing/2014/chart" uri="{C3380CC4-5D6E-409C-BE32-E72D297353CC}">
              <c16:uniqueId val="{00000004-D140-438B-B788-2292EBE92CA5}"/>
            </c:ext>
          </c:extLst>
        </c:ser>
        <c:ser>
          <c:idx val="16"/>
          <c:order val="16"/>
          <c:tx>
            <c:strRef>
              <c:f>Pivots!$R$100:$R$101</c:f>
              <c:strCache>
                <c:ptCount val="1"/>
                <c:pt idx="0">
                  <c:v>Licence/Insurance</c:v>
                </c:pt>
              </c:strCache>
            </c:strRef>
          </c:tx>
          <c:spPr>
            <a:solidFill>
              <a:schemeClr val="accent5">
                <a:lumMod val="80000"/>
                <a:lumOff val="2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Pivots!$R$102:$R$108</c:f>
              <c:numCache>
                <c:formatCode>_-* #,##0_-;\-* #,##0_-;_-* "-"??_-;_-@_-</c:formatCode>
                <c:ptCount val="6"/>
                <c:pt idx="0">
                  <c:v>28172</c:v>
                </c:pt>
                <c:pt idx="2">
                  <c:v>4500</c:v>
                </c:pt>
                <c:pt idx="3">
                  <c:v>8700</c:v>
                </c:pt>
              </c:numCache>
            </c:numRef>
          </c:val>
          <c:extLst>
            <c:ext xmlns:c16="http://schemas.microsoft.com/office/drawing/2014/chart" uri="{C3380CC4-5D6E-409C-BE32-E72D297353CC}">
              <c16:uniqueId val="{00000005-D140-438B-B788-2292EBE92CA5}"/>
            </c:ext>
          </c:extLst>
        </c:ser>
        <c:ser>
          <c:idx val="17"/>
          <c:order val="17"/>
          <c:tx>
            <c:strRef>
              <c:f>Pivots!$S$100:$S$101</c:f>
              <c:strCache>
                <c:ptCount val="1"/>
                <c:pt idx="0">
                  <c:v>Loan/Lease</c:v>
                </c:pt>
              </c:strCache>
            </c:strRef>
          </c:tx>
          <c:spPr>
            <a:solidFill>
              <a:schemeClr val="accent6">
                <a:lumMod val="80000"/>
                <a:lumOff val="2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Pivots!$S$102:$S$108</c:f>
              <c:numCache>
                <c:formatCode>_-* #,##0_-;\-* #,##0_-;_-* "-"??_-;_-@_-</c:formatCode>
                <c:ptCount val="6"/>
                <c:pt idx="0">
                  <c:v>161770</c:v>
                </c:pt>
                <c:pt idx="1">
                  <c:v>71270</c:v>
                </c:pt>
                <c:pt idx="2">
                  <c:v>157270</c:v>
                </c:pt>
                <c:pt idx="3">
                  <c:v>30000</c:v>
                </c:pt>
                <c:pt idx="4">
                  <c:v>138744</c:v>
                </c:pt>
                <c:pt idx="5">
                  <c:v>97000</c:v>
                </c:pt>
              </c:numCache>
            </c:numRef>
          </c:val>
          <c:extLst>
            <c:ext xmlns:c16="http://schemas.microsoft.com/office/drawing/2014/chart" uri="{C3380CC4-5D6E-409C-BE32-E72D297353CC}">
              <c16:uniqueId val="{00000006-D140-438B-B788-2292EBE92CA5}"/>
            </c:ext>
          </c:extLst>
        </c:ser>
        <c:ser>
          <c:idx val="18"/>
          <c:order val="18"/>
          <c:tx>
            <c:strRef>
              <c:f>Pivots!$T$100:$T$101</c:f>
              <c:strCache>
                <c:ptCount val="1"/>
                <c:pt idx="0">
                  <c:v>Tyre/Battery</c:v>
                </c:pt>
              </c:strCache>
            </c:strRef>
          </c:tx>
          <c:spPr>
            <a:solidFill>
              <a:schemeClr val="accent1">
                <a:lumMod val="8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Pivots!$T$102:$T$108</c:f>
              <c:numCache>
                <c:formatCode>_-* #,##0_-;\-* #,##0_-;_-* "-"??_-;_-@_-</c:formatCode>
                <c:ptCount val="6"/>
                <c:pt idx="1">
                  <c:v>27700</c:v>
                </c:pt>
                <c:pt idx="3">
                  <c:v>26500</c:v>
                </c:pt>
                <c:pt idx="4">
                  <c:v>16000</c:v>
                </c:pt>
              </c:numCache>
            </c:numRef>
          </c:val>
          <c:extLst>
            <c:ext xmlns:c16="http://schemas.microsoft.com/office/drawing/2014/chart" uri="{C3380CC4-5D6E-409C-BE32-E72D297353CC}">
              <c16:uniqueId val="{00000007-D140-438B-B788-2292EBE92CA5}"/>
            </c:ext>
          </c:extLst>
        </c:ser>
        <c:ser>
          <c:idx val="19"/>
          <c:order val="19"/>
          <c:tx>
            <c:strRef>
              <c:f>Pivots!$U$100:$U$101</c:f>
              <c:strCache>
                <c:ptCount val="1"/>
                <c:pt idx="0">
                  <c:v>Beauty/salon</c:v>
                </c:pt>
              </c:strCache>
            </c:strRef>
          </c:tx>
          <c:spPr>
            <a:solidFill>
              <a:schemeClr val="accent2">
                <a:lumMod val="8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Pivots!$U$102:$U$108</c:f>
              <c:numCache>
                <c:formatCode>_-* #,##0_-;\-* #,##0_-;_-* "-"??_-;_-@_-</c:formatCode>
                <c:ptCount val="6"/>
                <c:pt idx="2">
                  <c:v>3007.88</c:v>
                </c:pt>
                <c:pt idx="4">
                  <c:v>470</c:v>
                </c:pt>
              </c:numCache>
            </c:numRef>
          </c:val>
          <c:extLst>
            <c:ext xmlns:c16="http://schemas.microsoft.com/office/drawing/2014/chart" uri="{C3380CC4-5D6E-409C-BE32-E72D297353CC}">
              <c16:uniqueId val="{00000008-D140-438B-B788-2292EBE92CA5}"/>
            </c:ext>
          </c:extLst>
        </c:ser>
        <c:ser>
          <c:idx val="20"/>
          <c:order val="20"/>
          <c:tx>
            <c:strRef>
              <c:f>Pivots!$V$100:$V$101</c:f>
              <c:strCache>
                <c:ptCount val="1"/>
                <c:pt idx="0">
                  <c:v>Exam Fees</c:v>
                </c:pt>
              </c:strCache>
            </c:strRef>
          </c:tx>
          <c:spPr>
            <a:solidFill>
              <a:schemeClr val="accent3">
                <a:lumMod val="8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Pivots!$V$102:$V$108</c:f>
              <c:numCache>
                <c:formatCode>_-* #,##0_-;\-* #,##0_-;_-* "-"??_-;_-@_-</c:formatCode>
                <c:ptCount val="6"/>
                <c:pt idx="2">
                  <c:v>10000</c:v>
                </c:pt>
              </c:numCache>
            </c:numRef>
          </c:val>
          <c:extLst>
            <c:ext xmlns:c16="http://schemas.microsoft.com/office/drawing/2014/chart" uri="{C3380CC4-5D6E-409C-BE32-E72D297353CC}">
              <c16:uniqueId val="{00000009-D140-438B-B788-2292EBE92CA5}"/>
            </c:ext>
          </c:extLst>
        </c:ser>
        <c:ser>
          <c:idx val="21"/>
          <c:order val="21"/>
          <c:tx>
            <c:strRef>
              <c:f>Pivots!$W$100:$W$101</c:f>
              <c:strCache>
                <c:ptCount val="1"/>
                <c:pt idx="0">
                  <c:v>Popi/Tabi🐕</c:v>
                </c:pt>
              </c:strCache>
            </c:strRef>
          </c:tx>
          <c:spPr>
            <a:solidFill>
              <a:schemeClr val="accent4">
                <a:lumMod val="8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Pivots!$W$102:$W$108</c:f>
              <c:numCache>
                <c:formatCode>_-* #,##0_-;\-* #,##0_-;_-* "-"??_-;_-@_-</c:formatCode>
                <c:ptCount val="6"/>
                <c:pt idx="1">
                  <c:v>1450</c:v>
                </c:pt>
                <c:pt idx="2">
                  <c:v>3318</c:v>
                </c:pt>
              </c:numCache>
            </c:numRef>
          </c:val>
          <c:extLst>
            <c:ext xmlns:c16="http://schemas.microsoft.com/office/drawing/2014/chart" uri="{C3380CC4-5D6E-409C-BE32-E72D297353CC}">
              <c16:uniqueId val="{0000000A-D140-438B-B788-2292EBE92CA5}"/>
            </c:ext>
          </c:extLst>
        </c:ser>
        <c:ser>
          <c:idx val="22"/>
          <c:order val="22"/>
          <c:tx>
            <c:strRef>
              <c:f>Pivots!$X$100:$X$101</c:f>
              <c:strCache>
                <c:ptCount val="1"/>
                <c:pt idx="0">
                  <c:v>School Fees</c:v>
                </c:pt>
              </c:strCache>
            </c:strRef>
          </c:tx>
          <c:spPr>
            <a:solidFill>
              <a:schemeClr val="accent5">
                <a:lumMod val="80000"/>
              </a:schemeClr>
            </a:solidFill>
            <a:ln>
              <a:noFill/>
            </a:ln>
            <a:effectLst/>
          </c:spPr>
          <c:invertIfNegative val="0"/>
          <c:cat>
            <c:strRef>
              <c:f>Pivots!$A$102:$A$108</c:f>
              <c:strCache>
                <c:ptCount val="6"/>
                <c:pt idx="0">
                  <c:v>Jan</c:v>
                </c:pt>
                <c:pt idx="1">
                  <c:v>Feb</c:v>
                </c:pt>
                <c:pt idx="2">
                  <c:v>Mar</c:v>
                </c:pt>
                <c:pt idx="3">
                  <c:v>Apr</c:v>
                </c:pt>
                <c:pt idx="4">
                  <c:v>May</c:v>
                </c:pt>
                <c:pt idx="5">
                  <c:v>Jun</c:v>
                </c:pt>
              </c:strCache>
            </c:strRef>
          </c:cat>
          <c:val>
            <c:numRef>
              <c:f>Pivots!$X$102:$X$108</c:f>
              <c:numCache>
                <c:formatCode>_-* #,##0_-;\-* #,##0_-;_-* "-"??_-;_-@_-</c:formatCode>
                <c:ptCount val="6"/>
                <c:pt idx="3">
                  <c:v>91885</c:v>
                </c:pt>
              </c:numCache>
            </c:numRef>
          </c:val>
          <c:extLst>
            <c:ext xmlns:c16="http://schemas.microsoft.com/office/drawing/2014/chart" uri="{C3380CC4-5D6E-409C-BE32-E72D297353CC}">
              <c16:uniqueId val="{0000000B-D140-438B-B788-2292EBE92CA5}"/>
            </c:ext>
          </c:extLst>
        </c:ser>
        <c:dLbls>
          <c:showLegendKey val="0"/>
          <c:showVal val="0"/>
          <c:showCatName val="0"/>
          <c:showSerName val="0"/>
          <c:showPercent val="0"/>
          <c:showBubbleSize val="0"/>
        </c:dLbls>
        <c:gapWidth val="150"/>
        <c:overlap val="100"/>
        <c:axId val="550309984"/>
        <c:axId val="550306744"/>
      </c:barChart>
      <c:catAx>
        <c:axId val="55030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306744"/>
        <c:crosses val="autoZero"/>
        <c:auto val="1"/>
        <c:lblAlgn val="ctr"/>
        <c:lblOffset val="100"/>
        <c:noMultiLvlLbl val="0"/>
      </c:catAx>
      <c:valAx>
        <c:axId val="55030674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30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Expense.xlsx]Pivots!ExpenseMonthly</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Expense Varience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Pivots!$E$41:$E$43</c:f>
              <c:strCache>
                <c:ptCount val="1"/>
                <c:pt idx="0">
                  <c:v>Jan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Pivots!$D$44:$D$67</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Pivots!$E$44:$E$67</c:f>
              <c:numCache>
                <c:formatCode>_-* #,##0_-;\-* #,##0_-;_-* "-"??_-;_-@_-</c:formatCode>
                <c:ptCount val="23"/>
                <c:pt idx="0">
                  <c:v>7935.3799999999992</c:v>
                </c:pt>
                <c:pt idx="1">
                  <c:v>161770</c:v>
                </c:pt>
                <c:pt idx="2">
                  <c:v>3100</c:v>
                </c:pt>
                <c:pt idx="3">
                  <c:v>30200</c:v>
                </c:pt>
                <c:pt idx="4">
                  <c:v>26058</c:v>
                </c:pt>
                <c:pt idx="5">
                  <c:v>2600</c:v>
                </c:pt>
                <c:pt idx="6">
                  <c:v>3500</c:v>
                </c:pt>
                <c:pt idx="7">
                  <c:v>64121</c:v>
                </c:pt>
                <c:pt idx="8">
                  <c:v>26769.47</c:v>
                </c:pt>
                <c:pt idx="9">
                  <c:v>8500</c:v>
                </c:pt>
                <c:pt idx="10">
                  <c:v>20250</c:v>
                </c:pt>
                <c:pt idx="14">
                  <c:v>5010</c:v>
                </c:pt>
                <c:pt idx="16">
                  <c:v>3700</c:v>
                </c:pt>
                <c:pt idx="17">
                  <c:v>28172</c:v>
                </c:pt>
                <c:pt idx="18">
                  <c:v>1000</c:v>
                </c:pt>
                <c:pt idx="22">
                  <c:v>3971.98</c:v>
                </c:pt>
              </c:numCache>
            </c:numRef>
          </c:val>
          <c:extLst>
            <c:ext xmlns:c16="http://schemas.microsoft.com/office/drawing/2014/chart" uri="{C3380CC4-5D6E-409C-BE32-E72D297353CC}">
              <c16:uniqueId val="{00000001-A0DD-4CA1-9306-DFB110AB38C2}"/>
            </c:ext>
          </c:extLst>
        </c:ser>
        <c:ser>
          <c:idx val="1"/>
          <c:order val="1"/>
          <c:tx>
            <c:strRef>
              <c:f>Pivots!$F$41:$F$43</c:f>
              <c:strCache>
                <c:ptCount val="1"/>
                <c:pt idx="0">
                  <c:v>Feb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Pivots!$D$44:$D$67</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Pivots!$F$44:$F$67</c:f>
              <c:numCache>
                <c:formatCode>_-* #,##0_-;\-* #,##0_-;_-* "-"??_-;_-@_-</c:formatCode>
                <c:ptCount val="23"/>
                <c:pt idx="0">
                  <c:v>6459.17</c:v>
                </c:pt>
                <c:pt idx="1">
                  <c:v>71270</c:v>
                </c:pt>
                <c:pt idx="2">
                  <c:v>10058</c:v>
                </c:pt>
                <c:pt idx="3">
                  <c:v>25705</c:v>
                </c:pt>
                <c:pt idx="4">
                  <c:v>54000</c:v>
                </c:pt>
                <c:pt idx="5">
                  <c:v>6940</c:v>
                </c:pt>
                <c:pt idx="7">
                  <c:v>37450</c:v>
                </c:pt>
                <c:pt idx="8">
                  <c:v>10500</c:v>
                </c:pt>
                <c:pt idx="9">
                  <c:v>6380</c:v>
                </c:pt>
                <c:pt idx="10">
                  <c:v>16000</c:v>
                </c:pt>
                <c:pt idx="11">
                  <c:v>131200</c:v>
                </c:pt>
                <c:pt idx="13">
                  <c:v>1000</c:v>
                </c:pt>
                <c:pt idx="14">
                  <c:v>4626</c:v>
                </c:pt>
                <c:pt idx="18">
                  <c:v>6500</c:v>
                </c:pt>
                <c:pt idx="19">
                  <c:v>1450</c:v>
                </c:pt>
                <c:pt idx="21">
                  <c:v>27700</c:v>
                </c:pt>
                <c:pt idx="22">
                  <c:v>4000</c:v>
                </c:pt>
              </c:numCache>
            </c:numRef>
          </c:val>
          <c:extLst>
            <c:ext xmlns:c16="http://schemas.microsoft.com/office/drawing/2014/chart" uri="{C3380CC4-5D6E-409C-BE32-E72D297353CC}">
              <c16:uniqueId val="{00000001-5C5F-403A-9214-48D696DA2A48}"/>
            </c:ext>
          </c:extLst>
        </c:ser>
        <c:ser>
          <c:idx val="2"/>
          <c:order val="2"/>
          <c:tx>
            <c:strRef>
              <c:f>Pivots!$G$41:$G$43</c:f>
              <c:strCache>
                <c:ptCount val="1"/>
                <c:pt idx="0">
                  <c:v>Mar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Pivots!$D$44:$D$67</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Pivots!$G$44:$G$67</c:f>
              <c:numCache>
                <c:formatCode>_-* #,##0_-;\-* #,##0_-;_-* "-"??_-;_-@_-</c:formatCode>
                <c:ptCount val="23"/>
                <c:pt idx="0">
                  <c:v>7723.1900000000005</c:v>
                </c:pt>
                <c:pt idx="1">
                  <c:v>157270</c:v>
                </c:pt>
                <c:pt idx="2">
                  <c:v>37313</c:v>
                </c:pt>
                <c:pt idx="3">
                  <c:v>30020</c:v>
                </c:pt>
                <c:pt idx="4">
                  <c:v>18000</c:v>
                </c:pt>
                <c:pt idx="5">
                  <c:v>420</c:v>
                </c:pt>
                <c:pt idx="7">
                  <c:v>61017.22</c:v>
                </c:pt>
                <c:pt idx="8">
                  <c:v>10500</c:v>
                </c:pt>
                <c:pt idx="9">
                  <c:v>6550</c:v>
                </c:pt>
                <c:pt idx="10">
                  <c:v>15600</c:v>
                </c:pt>
                <c:pt idx="11">
                  <c:v>40300</c:v>
                </c:pt>
                <c:pt idx="12">
                  <c:v>3007.88</c:v>
                </c:pt>
                <c:pt idx="13">
                  <c:v>4650</c:v>
                </c:pt>
                <c:pt idx="14">
                  <c:v>4963.34</c:v>
                </c:pt>
                <c:pt idx="15">
                  <c:v>10000</c:v>
                </c:pt>
                <c:pt idx="16">
                  <c:v>1389</c:v>
                </c:pt>
                <c:pt idx="17">
                  <c:v>4500</c:v>
                </c:pt>
                <c:pt idx="19">
                  <c:v>3318</c:v>
                </c:pt>
                <c:pt idx="22">
                  <c:v>3878.48</c:v>
                </c:pt>
              </c:numCache>
            </c:numRef>
          </c:val>
          <c:extLst>
            <c:ext xmlns:c16="http://schemas.microsoft.com/office/drawing/2014/chart" uri="{C3380CC4-5D6E-409C-BE32-E72D297353CC}">
              <c16:uniqueId val="{00000002-5C5F-403A-9214-48D696DA2A48}"/>
            </c:ext>
          </c:extLst>
        </c:ser>
        <c:ser>
          <c:idx val="3"/>
          <c:order val="3"/>
          <c:tx>
            <c:strRef>
              <c:f>Pivots!$H$41:$H$43</c:f>
              <c:strCache>
                <c:ptCount val="1"/>
                <c:pt idx="0">
                  <c:v>Apr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Pivots!$D$44:$D$67</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Pivots!$H$44:$H$67</c:f>
              <c:numCache>
                <c:formatCode>_-* #,##0_-;\-* #,##0_-;_-* "-"??_-;_-@_-</c:formatCode>
                <c:ptCount val="23"/>
                <c:pt idx="0">
                  <c:v>6868.23</c:v>
                </c:pt>
                <c:pt idx="1">
                  <c:v>30000</c:v>
                </c:pt>
                <c:pt idx="2">
                  <c:v>2450</c:v>
                </c:pt>
                <c:pt idx="3">
                  <c:v>13525</c:v>
                </c:pt>
                <c:pt idx="4">
                  <c:v>50000</c:v>
                </c:pt>
                <c:pt idx="5">
                  <c:v>350</c:v>
                </c:pt>
                <c:pt idx="6">
                  <c:v>18179</c:v>
                </c:pt>
                <c:pt idx="7">
                  <c:v>54291</c:v>
                </c:pt>
                <c:pt idx="8">
                  <c:v>10500</c:v>
                </c:pt>
                <c:pt idx="9">
                  <c:v>9210</c:v>
                </c:pt>
                <c:pt idx="10">
                  <c:v>18600</c:v>
                </c:pt>
                <c:pt idx="11">
                  <c:v>97250</c:v>
                </c:pt>
                <c:pt idx="13">
                  <c:v>3090</c:v>
                </c:pt>
                <c:pt idx="14">
                  <c:v>4307.38</c:v>
                </c:pt>
                <c:pt idx="16">
                  <c:v>3890</c:v>
                </c:pt>
                <c:pt idx="17">
                  <c:v>8700</c:v>
                </c:pt>
                <c:pt idx="20">
                  <c:v>91885</c:v>
                </c:pt>
                <c:pt idx="21">
                  <c:v>26500</c:v>
                </c:pt>
                <c:pt idx="22">
                  <c:v>2792.17</c:v>
                </c:pt>
              </c:numCache>
            </c:numRef>
          </c:val>
          <c:extLst>
            <c:ext xmlns:c16="http://schemas.microsoft.com/office/drawing/2014/chart" uri="{C3380CC4-5D6E-409C-BE32-E72D297353CC}">
              <c16:uniqueId val="{00000003-5C5F-403A-9214-48D696DA2A48}"/>
            </c:ext>
          </c:extLst>
        </c:ser>
        <c:ser>
          <c:idx val="4"/>
          <c:order val="4"/>
          <c:tx>
            <c:strRef>
              <c:f>Pivots!$I$41:$I$43</c:f>
              <c:strCache>
                <c:ptCount val="1"/>
                <c:pt idx="0">
                  <c:v>May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Pivots!$D$44:$D$67</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Pivots!$I$44:$I$67</c:f>
              <c:numCache>
                <c:formatCode>_-* #,##0_-;\-* #,##0_-;_-* "-"??_-;_-@_-</c:formatCode>
                <c:ptCount val="23"/>
                <c:pt idx="0">
                  <c:v>7195.73</c:v>
                </c:pt>
                <c:pt idx="1">
                  <c:v>138744</c:v>
                </c:pt>
                <c:pt idx="2">
                  <c:v>11080</c:v>
                </c:pt>
                <c:pt idx="3">
                  <c:v>31012</c:v>
                </c:pt>
                <c:pt idx="4">
                  <c:v>6000</c:v>
                </c:pt>
                <c:pt idx="5">
                  <c:v>1775</c:v>
                </c:pt>
                <c:pt idx="6">
                  <c:v>32284</c:v>
                </c:pt>
                <c:pt idx="7">
                  <c:v>64501.18</c:v>
                </c:pt>
                <c:pt idx="8">
                  <c:v>10500</c:v>
                </c:pt>
                <c:pt idx="9">
                  <c:v>10925</c:v>
                </c:pt>
                <c:pt idx="10">
                  <c:v>16000</c:v>
                </c:pt>
                <c:pt idx="11">
                  <c:v>42800</c:v>
                </c:pt>
                <c:pt idx="12">
                  <c:v>470</c:v>
                </c:pt>
                <c:pt idx="14">
                  <c:v>3784</c:v>
                </c:pt>
                <c:pt idx="16">
                  <c:v>695</c:v>
                </c:pt>
                <c:pt idx="21">
                  <c:v>16000</c:v>
                </c:pt>
                <c:pt idx="22">
                  <c:v>3757.59</c:v>
                </c:pt>
              </c:numCache>
            </c:numRef>
          </c:val>
          <c:extLst>
            <c:ext xmlns:c16="http://schemas.microsoft.com/office/drawing/2014/chart" uri="{C3380CC4-5D6E-409C-BE32-E72D297353CC}">
              <c16:uniqueId val="{00000004-5C5F-403A-9214-48D696DA2A48}"/>
            </c:ext>
          </c:extLst>
        </c:ser>
        <c:ser>
          <c:idx val="5"/>
          <c:order val="5"/>
          <c:tx>
            <c:strRef>
              <c:f>Pivots!$J$41:$J$43</c:f>
              <c:strCache>
                <c:ptCount val="1"/>
                <c:pt idx="0">
                  <c:v>Jun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Pivots!$D$44:$D$67</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Pivots!$J$44:$J$67</c:f>
              <c:numCache>
                <c:formatCode>_-* #,##0_-;\-* #,##0_-;_-* "-"??_-;_-@_-</c:formatCode>
                <c:ptCount val="23"/>
                <c:pt idx="0">
                  <c:v>6882.8099999999995</c:v>
                </c:pt>
                <c:pt idx="1">
                  <c:v>97000</c:v>
                </c:pt>
                <c:pt idx="3">
                  <c:v>18785</c:v>
                </c:pt>
                <c:pt idx="4">
                  <c:v>5000</c:v>
                </c:pt>
                <c:pt idx="6">
                  <c:v>2600</c:v>
                </c:pt>
                <c:pt idx="7">
                  <c:v>34753.599999999999</c:v>
                </c:pt>
                <c:pt idx="8">
                  <c:v>22000</c:v>
                </c:pt>
                <c:pt idx="9">
                  <c:v>3908</c:v>
                </c:pt>
                <c:pt idx="10">
                  <c:v>6800</c:v>
                </c:pt>
              </c:numCache>
            </c:numRef>
          </c:val>
          <c:extLst>
            <c:ext xmlns:c16="http://schemas.microsoft.com/office/drawing/2014/chart" uri="{C3380CC4-5D6E-409C-BE32-E72D297353CC}">
              <c16:uniqueId val="{00000000-DDF2-4864-AF7A-943B717EF3F6}"/>
            </c:ext>
          </c:extLst>
        </c:ser>
        <c:dLbls>
          <c:showLegendKey val="0"/>
          <c:showVal val="0"/>
          <c:showCatName val="0"/>
          <c:showSerName val="0"/>
          <c:showPercent val="0"/>
          <c:showBubbleSize val="0"/>
        </c:dLbls>
        <c:gapWidth val="115"/>
        <c:overlap val="100"/>
        <c:axId val="565791144"/>
        <c:axId val="565789704"/>
      </c:barChart>
      <c:catAx>
        <c:axId val="5657911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89704"/>
        <c:crosses val="autoZero"/>
        <c:auto val="1"/>
        <c:lblAlgn val="ctr"/>
        <c:lblOffset val="100"/>
        <c:noMultiLvlLbl val="0"/>
      </c:catAx>
      <c:valAx>
        <c:axId val="565789704"/>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91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Expense.xlsx]Pivots!IncomeCategory</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Income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Pivots!$B$16</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DC-4AEA-9633-4CA6E2D3164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DC-4AEA-9633-4CA6E2D3164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FDC-4AEA-9633-4CA6E2D3164E}"/>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Pivots!$A$17:$A$21</c:f>
              <c:strCache>
                <c:ptCount val="4"/>
                <c:pt idx="0">
                  <c:v>Bookkeeping</c:v>
                </c:pt>
                <c:pt idx="1">
                  <c:v>Other</c:v>
                </c:pt>
                <c:pt idx="2">
                  <c:v>Vehicle Rent</c:v>
                </c:pt>
                <c:pt idx="3">
                  <c:v>Salary</c:v>
                </c:pt>
              </c:strCache>
            </c:strRef>
          </c:cat>
          <c:val>
            <c:numRef>
              <c:f>Pivots!$B$17:$B$21</c:f>
              <c:numCache>
                <c:formatCode>_-* #,##0_-;\-* #,##0_-;_-* "-"??_-;_-@_-</c:formatCode>
                <c:ptCount val="4"/>
                <c:pt idx="0">
                  <c:v>5000</c:v>
                </c:pt>
                <c:pt idx="1">
                  <c:v>23000</c:v>
                </c:pt>
                <c:pt idx="2">
                  <c:v>692300</c:v>
                </c:pt>
                <c:pt idx="3">
                  <c:v>1615337</c:v>
                </c:pt>
              </c:numCache>
            </c:numRef>
          </c:val>
          <c:extLst>
            <c:ext xmlns:c16="http://schemas.microsoft.com/office/drawing/2014/chart" uri="{C3380CC4-5D6E-409C-BE32-E72D297353CC}">
              <c16:uniqueId val="{00000006-D6C3-4D1B-A1CA-32B765CBF9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Expense.xlsx]Pivots!IncomeMonthly</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Income Varience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D05E"/>
          </a:solidFill>
          <a:ln>
            <a:noFill/>
          </a:ln>
          <a:effectLst>
            <a:outerShdw blurRad="57150" dist="19050" dir="5400000" algn="ctr" rotWithShape="0">
              <a:srgbClr val="000000">
                <a:alpha val="63000"/>
              </a:srgbClr>
            </a:outerShdw>
          </a:effectLst>
        </c:spPr>
      </c:pivotFmt>
      <c:pivotFmt>
        <c:idx val="7"/>
        <c:spPr>
          <a:solidFill>
            <a:srgbClr val="00D05E"/>
          </a:solidFill>
          <a:ln>
            <a:noFill/>
          </a:ln>
          <a:effectLst>
            <a:outerShdw blurRad="57150" dist="19050" dir="5400000" algn="ctr" rotWithShape="0">
              <a:srgbClr val="000000">
                <a:alpha val="63000"/>
              </a:srgbClr>
            </a:outerShdw>
          </a:effectLst>
        </c:spPr>
      </c:pivotFmt>
      <c:pivotFmt>
        <c:idx val="8"/>
        <c:spPr>
          <a:solidFill>
            <a:srgbClr val="00D05E"/>
          </a:soli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Pivots!$B$26:$B$28</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D05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66F-4A02-BF55-1CAD24714D04}"/>
              </c:ext>
            </c:extLst>
          </c:dPt>
          <c:dPt>
            <c:idx val="1"/>
            <c:invertIfNegative val="0"/>
            <c:bubble3D val="0"/>
            <c:extLst>
              <c:ext xmlns:c16="http://schemas.microsoft.com/office/drawing/2014/chart" uri="{C3380CC4-5D6E-409C-BE32-E72D297353CC}">
                <c16:uniqueId val="{00000003-E66F-4A02-BF55-1CAD24714D04}"/>
              </c:ext>
            </c:extLst>
          </c:dPt>
          <c:dPt>
            <c:idx val="2"/>
            <c:invertIfNegative val="0"/>
            <c:bubble3D val="0"/>
            <c:spPr>
              <a:solidFill>
                <a:srgbClr val="00D05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66F-4A02-BF55-1CAD24714D04}"/>
              </c:ext>
            </c:extLst>
          </c:dPt>
          <c:dPt>
            <c:idx val="3"/>
            <c:invertIfNegative val="0"/>
            <c:bubble3D val="0"/>
            <c:spPr>
              <a:solidFill>
                <a:srgbClr val="00D05E"/>
              </a:solidFill>
              <a:ln>
                <a:noFill/>
              </a:ln>
              <a:effectLst>
                <a:outerShdw blurRad="57150" dist="19050" dir="5400000" algn="ctr" rotWithShape="0">
                  <a:srgbClr val="000000">
                    <a:alpha val="63000"/>
                  </a:srgbClr>
                </a:outerShdw>
              </a:effectLst>
            </c:spPr>
          </c:dPt>
          <c:cat>
            <c:strRef>
              <c:f>Pivots!$A$29:$A$33</c:f>
              <c:strCache>
                <c:ptCount val="4"/>
                <c:pt idx="0">
                  <c:v>Bookkeeping</c:v>
                </c:pt>
                <c:pt idx="1">
                  <c:v>Other</c:v>
                </c:pt>
                <c:pt idx="2">
                  <c:v>Vehicle Rent</c:v>
                </c:pt>
                <c:pt idx="3">
                  <c:v>Salary</c:v>
                </c:pt>
              </c:strCache>
            </c:strRef>
          </c:cat>
          <c:val>
            <c:numRef>
              <c:f>Pivots!$B$29:$B$33</c:f>
              <c:numCache>
                <c:formatCode>_-* #,##0_-;\-* #,##0_-;_-* "-"??_-;_-@_-</c:formatCode>
                <c:ptCount val="4"/>
                <c:pt idx="0">
                  <c:v>5000</c:v>
                </c:pt>
                <c:pt idx="2">
                  <c:v>134500</c:v>
                </c:pt>
                <c:pt idx="3">
                  <c:v>280828</c:v>
                </c:pt>
              </c:numCache>
            </c:numRef>
          </c:val>
          <c:extLst>
            <c:ext xmlns:c16="http://schemas.microsoft.com/office/drawing/2014/chart" uri="{C3380CC4-5D6E-409C-BE32-E72D297353CC}">
              <c16:uniqueId val="{0000000B-D29A-43B6-A81A-D72D2155E1A2}"/>
            </c:ext>
          </c:extLst>
        </c:ser>
        <c:ser>
          <c:idx val="1"/>
          <c:order val="1"/>
          <c:tx>
            <c:strRef>
              <c:f>Pivots!$C$26:$C$28</c:f>
              <c:strCache>
                <c:ptCount val="1"/>
                <c:pt idx="0">
                  <c:v>Feb</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Pivots!$A$29:$A$33</c:f>
              <c:strCache>
                <c:ptCount val="4"/>
                <c:pt idx="0">
                  <c:v>Bookkeeping</c:v>
                </c:pt>
                <c:pt idx="1">
                  <c:v>Other</c:v>
                </c:pt>
                <c:pt idx="2">
                  <c:v>Vehicle Rent</c:v>
                </c:pt>
                <c:pt idx="3">
                  <c:v>Salary</c:v>
                </c:pt>
              </c:strCache>
            </c:strRef>
          </c:cat>
          <c:val>
            <c:numRef>
              <c:f>Pivots!$C$29:$C$33</c:f>
              <c:numCache>
                <c:formatCode>_-* #,##0_-;\-* #,##0_-;_-* "-"??_-;_-@_-</c:formatCode>
                <c:ptCount val="4"/>
                <c:pt idx="2">
                  <c:v>125000</c:v>
                </c:pt>
                <c:pt idx="3">
                  <c:v>319226</c:v>
                </c:pt>
              </c:numCache>
            </c:numRef>
          </c:val>
          <c:extLst>
            <c:ext xmlns:c16="http://schemas.microsoft.com/office/drawing/2014/chart" uri="{C3380CC4-5D6E-409C-BE32-E72D297353CC}">
              <c16:uniqueId val="{00000007-4B6D-4C62-A1CA-ED1321CB8CC1}"/>
            </c:ext>
          </c:extLst>
        </c:ser>
        <c:ser>
          <c:idx val="2"/>
          <c:order val="2"/>
          <c:tx>
            <c:strRef>
              <c:f>Pivots!$D$26:$D$28</c:f>
              <c:strCache>
                <c:ptCount val="1"/>
                <c:pt idx="0">
                  <c:v>Mar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Pivots!$A$29:$A$33</c:f>
              <c:strCache>
                <c:ptCount val="4"/>
                <c:pt idx="0">
                  <c:v>Bookkeeping</c:v>
                </c:pt>
                <c:pt idx="1">
                  <c:v>Other</c:v>
                </c:pt>
                <c:pt idx="2">
                  <c:v>Vehicle Rent</c:v>
                </c:pt>
                <c:pt idx="3">
                  <c:v>Salary</c:v>
                </c:pt>
              </c:strCache>
            </c:strRef>
          </c:cat>
          <c:val>
            <c:numRef>
              <c:f>Pivots!$D$29:$D$33</c:f>
              <c:numCache>
                <c:formatCode>_-* #,##0_-;\-* #,##0_-;_-* "-"??_-;_-@_-</c:formatCode>
                <c:ptCount val="4"/>
                <c:pt idx="2">
                  <c:v>120000</c:v>
                </c:pt>
                <c:pt idx="3">
                  <c:v>311283</c:v>
                </c:pt>
              </c:numCache>
            </c:numRef>
          </c:val>
          <c:extLst>
            <c:ext xmlns:c16="http://schemas.microsoft.com/office/drawing/2014/chart" uri="{C3380CC4-5D6E-409C-BE32-E72D297353CC}">
              <c16:uniqueId val="{00000008-4B6D-4C62-A1CA-ED1321CB8CC1}"/>
            </c:ext>
          </c:extLst>
        </c:ser>
        <c:ser>
          <c:idx val="3"/>
          <c:order val="3"/>
          <c:tx>
            <c:strRef>
              <c:f>Pivots!$E$26:$E$28</c:f>
              <c:strCache>
                <c:ptCount val="1"/>
                <c:pt idx="0">
                  <c:v>Apr</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Pivots!$A$29:$A$33</c:f>
              <c:strCache>
                <c:ptCount val="4"/>
                <c:pt idx="0">
                  <c:v>Bookkeeping</c:v>
                </c:pt>
                <c:pt idx="1">
                  <c:v>Other</c:v>
                </c:pt>
                <c:pt idx="2">
                  <c:v>Vehicle Rent</c:v>
                </c:pt>
                <c:pt idx="3">
                  <c:v>Salary</c:v>
                </c:pt>
              </c:strCache>
            </c:strRef>
          </c:cat>
          <c:val>
            <c:numRef>
              <c:f>Pivots!$E$29:$E$33</c:f>
              <c:numCache>
                <c:formatCode>_-* #,##0_-;\-* #,##0_-;_-* "-"??_-;_-@_-</c:formatCode>
                <c:ptCount val="4"/>
                <c:pt idx="2">
                  <c:v>127800</c:v>
                </c:pt>
                <c:pt idx="3">
                  <c:v>323000</c:v>
                </c:pt>
              </c:numCache>
            </c:numRef>
          </c:val>
          <c:extLst>
            <c:ext xmlns:c16="http://schemas.microsoft.com/office/drawing/2014/chart" uri="{C3380CC4-5D6E-409C-BE32-E72D297353CC}">
              <c16:uniqueId val="{00000009-4B6D-4C62-A1CA-ED1321CB8CC1}"/>
            </c:ext>
          </c:extLst>
        </c:ser>
        <c:ser>
          <c:idx val="4"/>
          <c:order val="4"/>
          <c:tx>
            <c:strRef>
              <c:f>Pivots!$F$26:$F$28</c:f>
              <c:strCache>
                <c:ptCount val="1"/>
                <c:pt idx="0">
                  <c:v>May</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Pivots!$A$29:$A$33</c:f>
              <c:strCache>
                <c:ptCount val="4"/>
                <c:pt idx="0">
                  <c:v>Bookkeeping</c:v>
                </c:pt>
                <c:pt idx="1">
                  <c:v>Other</c:v>
                </c:pt>
                <c:pt idx="2">
                  <c:v>Vehicle Rent</c:v>
                </c:pt>
                <c:pt idx="3">
                  <c:v>Salary</c:v>
                </c:pt>
              </c:strCache>
            </c:strRef>
          </c:cat>
          <c:val>
            <c:numRef>
              <c:f>Pivots!$F$29:$F$33</c:f>
              <c:numCache>
                <c:formatCode>_-* #,##0_-;\-* #,##0_-;_-* "-"??_-;_-@_-</c:formatCode>
                <c:ptCount val="4"/>
                <c:pt idx="1">
                  <c:v>23000</c:v>
                </c:pt>
                <c:pt idx="2">
                  <c:v>125000</c:v>
                </c:pt>
                <c:pt idx="3">
                  <c:v>233000</c:v>
                </c:pt>
              </c:numCache>
            </c:numRef>
          </c:val>
          <c:extLst>
            <c:ext xmlns:c16="http://schemas.microsoft.com/office/drawing/2014/chart" uri="{C3380CC4-5D6E-409C-BE32-E72D297353CC}">
              <c16:uniqueId val="{0000000A-4B6D-4C62-A1CA-ED1321CB8CC1}"/>
            </c:ext>
          </c:extLst>
        </c:ser>
        <c:ser>
          <c:idx val="5"/>
          <c:order val="5"/>
          <c:tx>
            <c:strRef>
              <c:f>Pivots!$G$26:$G$28</c:f>
              <c:strCache>
                <c:ptCount val="1"/>
                <c:pt idx="0">
                  <c:v>Jun</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Pivots!$A$29:$A$33</c:f>
              <c:strCache>
                <c:ptCount val="4"/>
                <c:pt idx="0">
                  <c:v>Bookkeeping</c:v>
                </c:pt>
                <c:pt idx="1">
                  <c:v>Other</c:v>
                </c:pt>
                <c:pt idx="2">
                  <c:v>Vehicle Rent</c:v>
                </c:pt>
                <c:pt idx="3">
                  <c:v>Salary</c:v>
                </c:pt>
              </c:strCache>
            </c:strRef>
          </c:cat>
          <c:val>
            <c:numRef>
              <c:f>Pivots!$G$29:$G$33</c:f>
              <c:numCache>
                <c:formatCode>_-* #,##0_-;\-* #,##0_-;_-* "-"??_-;_-@_-</c:formatCode>
                <c:ptCount val="4"/>
                <c:pt idx="2">
                  <c:v>60000</c:v>
                </c:pt>
                <c:pt idx="3">
                  <c:v>148000</c:v>
                </c:pt>
              </c:numCache>
            </c:numRef>
          </c:val>
          <c:extLst>
            <c:ext xmlns:c16="http://schemas.microsoft.com/office/drawing/2014/chart" uri="{C3380CC4-5D6E-409C-BE32-E72D297353CC}">
              <c16:uniqueId val="{00000006-676E-4821-9D08-32FFCD636A4A}"/>
            </c:ext>
          </c:extLst>
        </c:ser>
        <c:dLbls>
          <c:showLegendKey val="0"/>
          <c:showVal val="0"/>
          <c:showCatName val="0"/>
          <c:showSerName val="0"/>
          <c:showPercent val="0"/>
          <c:showBubbleSize val="0"/>
        </c:dLbls>
        <c:gapWidth val="115"/>
        <c:overlap val="100"/>
        <c:axId val="1119918624"/>
        <c:axId val="1119919344"/>
      </c:barChart>
      <c:catAx>
        <c:axId val="11199186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19344"/>
        <c:crosses val="autoZero"/>
        <c:auto val="1"/>
        <c:lblAlgn val="ctr"/>
        <c:lblOffset val="100"/>
        <c:noMultiLvlLbl val="0"/>
      </c:catAx>
      <c:valAx>
        <c:axId val="111991934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1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Expense.xlsx]Pivots!IncomeMember</c:name>
    <c:fmtId val="1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Income</a:t>
            </a:r>
            <a:r>
              <a:rPr lang="en-US" sz="1600" b="1" baseline="0"/>
              <a:t> Generation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Pivots!$E$16</c:f>
              <c:strCache>
                <c:ptCount val="1"/>
                <c:pt idx="0">
                  <c:v>Total</c:v>
                </c:pt>
              </c:strCache>
            </c:strRef>
          </c:tx>
          <c:spPr>
            <a:solidFill>
              <a:schemeClr val="accent2"/>
            </a:solidFill>
            <a:ln>
              <a:noFill/>
            </a:ln>
            <a:effectLst/>
          </c:spPr>
          <c:invertIfNegative val="0"/>
          <c:cat>
            <c:strRef>
              <c:f>Pivots!$D$17:$D$21</c:f>
              <c:strCache>
                <c:ptCount val="4"/>
                <c:pt idx="0">
                  <c:v>Beta Je</c:v>
                </c:pt>
                <c:pt idx="1">
                  <c:v>Mahesh</c:v>
                </c:pt>
                <c:pt idx="2">
                  <c:v>Shalini</c:v>
                </c:pt>
                <c:pt idx="3">
                  <c:v>Other</c:v>
                </c:pt>
              </c:strCache>
            </c:strRef>
          </c:cat>
          <c:val>
            <c:numRef>
              <c:f>Pivots!$E$17:$E$21</c:f>
              <c:numCache>
                <c:formatCode>_-* #,##0_-;\-* #,##0_-;_-* "-"??_-;_-@_-</c:formatCode>
                <c:ptCount val="4"/>
                <c:pt idx="0">
                  <c:v>692300</c:v>
                </c:pt>
                <c:pt idx="1">
                  <c:v>1178000</c:v>
                </c:pt>
                <c:pt idx="2">
                  <c:v>442337</c:v>
                </c:pt>
                <c:pt idx="3">
                  <c:v>23000</c:v>
                </c:pt>
              </c:numCache>
            </c:numRef>
          </c:val>
          <c:extLst>
            <c:ext xmlns:c16="http://schemas.microsoft.com/office/drawing/2014/chart" uri="{C3380CC4-5D6E-409C-BE32-E72D297353CC}">
              <c16:uniqueId val="{00000000-38E1-4FE3-9940-C48071C5505E}"/>
            </c:ext>
          </c:extLst>
        </c:ser>
        <c:dLbls>
          <c:showLegendKey val="0"/>
          <c:showVal val="0"/>
          <c:showCatName val="0"/>
          <c:showSerName val="0"/>
          <c:showPercent val="0"/>
          <c:showBubbleSize val="0"/>
        </c:dLbls>
        <c:gapWidth val="219"/>
        <c:overlap val="-27"/>
        <c:axId val="1119181128"/>
        <c:axId val="1119182928"/>
      </c:barChart>
      <c:catAx>
        <c:axId val="1119181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82928"/>
        <c:crosses val="autoZero"/>
        <c:auto val="1"/>
        <c:lblAlgn val="ctr"/>
        <c:lblOffset val="100"/>
        <c:noMultiLvlLbl val="0"/>
      </c:catAx>
      <c:valAx>
        <c:axId val="111918292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81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Expense.xlsx]Pivots!IncomeVsExpenses</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Income</a:t>
            </a:r>
            <a:r>
              <a:rPr lang="en-US" sz="1600" b="1" baseline="0"/>
              <a:t> vs Expenses</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c:f>
              <c:strCache>
                <c:ptCount val="1"/>
                <c:pt idx="0">
                  <c:v>Income</c:v>
                </c:pt>
              </c:strCache>
            </c:strRef>
          </c:tx>
          <c:spPr>
            <a:solidFill>
              <a:schemeClr val="accent1"/>
            </a:solidFill>
            <a:ln>
              <a:noFill/>
            </a:ln>
            <a:effectLst/>
          </c:spPr>
          <c:invertIfNegative val="0"/>
          <c:cat>
            <c:strRef>
              <c:f>Pivots!$A$3:$A$9</c:f>
              <c:strCache>
                <c:ptCount val="6"/>
                <c:pt idx="0">
                  <c:v>Jan</c:v>
                </c:pt>
                <c:pt idx="1">
                  <c:v>Feb</c:v>
                </c:pt>
                <c:pt idx="2">
                  <c:v>Mar</c:v>
                </c:pt>
                <c:pt idx="3">
                  <c:v>Apr</c:v>
                </c:pt>
                <c:pt idx="4">
                  <c:v>May</c:v>
                </c:pt>
                <c:pt idx="5">
                  <c:v>Jun</c:v>
                </c:pt>
              </c:strCache>
            </c:strRef>
          </c:cat>
          <c:val>
            <c:numRef>
              <c:f>Pivots!$B$3:$B$9</c:f>
              <c:numCache>
                <c:formatCode>_-* #,##0_-;\-* #,##0_-;_-* "-"??_-;_-@_-</c:formatCode>
                <c:ptCount val="6"/>
                <c:pt idx="0">
                  <c:v>420328</c:v>
                </c:pt>
                <c:pt idx="1">
                  <c:v>444226</c:v>
                </c:pt>
                <c:pt idx="2">
                  <c:v>431283</c:v>
                </c:pt>
                <c:pt idx="3">
                  <c:v>450800</c:v>
                </c:pt>
                <c:pt idx="4">
                  <c:v>381000</c:v>
                </c:pt>
                <c:pt idx="5">
                  <c:v>208000</c:v>
                </c:pt>
              </c:numCache>
            </c:numRef>
          </c:val>
          <c:extLst>
            <c:ext xmlns:c16="http://schemas.microsoft.com/office/drawing/2014/chart" uri="{C3380CC4-5D6E-409C-BE32-E72D297353CC}">
              <c16:uniqueId val="{00000000-7758-4A72-9159-11D49D3838AC}"/>
            </c:ext>
          </c:extLst>
        </c:ser>
        <c:ser>
          <c:idx val="1"/>
          <c:order val="1"/>
          <c:tx>
            <c:strRef>
              <c:f>Pivots!$C$2</c:f>
              <c:strCache>
                <c:ptCount val="1"/>
                <c:pt idx="0">
                  <c:v>Expense</c:v>
                </c:pt>
              </c:strCache>
            </c:strRef>
          </c:tx>
          <c:spPr>
            <a:solidFill>
              <a:schemeClr val="accent2"/>
            </a:solidFill>
            <a:ln>
              <a:noFill/>
            </a:ln>
            <a:effectLst/>
          </c:spPr>
          <c:invertIfNegative val="0"/>
          <c:cat>
            <c:strRef>
              <c:f>Pivots!$A$3:$A$9</c:f>
              <c:strCache>
                <c:ptCount val="6"/>
                <c:pt idx="0">
                  <c:v>Jan</c:v>
                </c:pt>
                <c:pt idx="1">
                  <c:v>Feb</c:v>
                </c:pt>
                <c:pt idx="2">
                  <c:v>Mar</c:v>
                </c:pt>
                <c:pt idx="3">
                  <c:v>Apr</c:v>
                </c:pt>
                <c:pt idx="4">
                  <c:v>May</c:v>
                </c:pt>
                <c:pt idx="5">
                  <c:v>Jun</c:v>
                </c:pt>
              </c:strCache>
            </c:strRef>
          </c:cat>
          <c:val>
            <c:numRef>
              <c:f>Pivots!$C$3:$C$9</c:f>
              <c:numCache>
                <c:formatCode>_-* #,##0_-;\-* #,##0_-;_-* "-"??_-;_-@_-</c:formatCode>
                <c:ptCount val="6"/>
                <c:pt idx="0">
                  <c:v>396657.83</c:v>
                </c:pt>
                <c:pt idx="1">
                  <c:v>421238.17</c:v>
                </c:pt>
                <c:pt idx="2">
                  <c:v>420420.11</c:v>
                </c:pt>
                <c:pt idx="3">
                  <c:v>452387.77999999997</c:v>
                </c:pt>
                <c:pt idx="4">
                  <c:v>397523.5</c:v>
                </c:pt>
                <c:pt idx="5">
                  <c:v>197729.41</c:v>
                </c:pt>
              </c:numCache>
            </c:numRef>
          </c:val>
          <c:extLst>
            <c:ext xmlns:c16="http://schemas.microsoft.com/office/drawing/2014/chart" uri="{C3380CC4-5D6E-409C-BE32-E72D297353CC}">
              <c16:uniqueId val="{00000001-7758-4A72-9159-11D49D3838AC}"/>
            </c:ext>
          </c:extLst>
        </c:ser>
        <c:dLbls>
          <c:showLegendKey val="0"/>
          <c:showVal val="0"/>
          <c:showCatName val="0"/>
          <c:showSerName val="0"/>
          <c:showPercent val="0"/>
          <c:showBubbleSize val="0"/>
        </c:dLbls>
        <c:gapWidth val="219"/>
        <c:overlap val="-27"/>
        <c:axId val="1121056616"/>
        <c:axId val="1121062376"/>
      </c:barChart>
      <c:catAx>
        <c:axId val="1121056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62376"/>
        <c:crosses val="autoZero"/>
        <c:auto val="1"/>
        <c:lblAlgn val="ctr"/>
        <c:lblOffset val="100"/>
        <c:noMultiLvlLbl val="0"/>
      </c:catAx>
      <c:valAx>
        <c:axId val="112106237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56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Expense.xlsx]Pivots!IncomeMonth</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Income</a:t>
            </a:r>
            <a:r>
              <a:rPr lang="en-US" sz="1600" b="1" baseline="0"/>
              <a:t> Monthly</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Pivots!$L$2:$L$3</c:f>
              <c:strCache>
                <c:ptCount val="1"/>
                <c:pt idx="0">
                  <c:v>Bookkeeping</c:v>
                </c:pt>
              </c:strCache>
            </c:strRef>
          </c:tx>
          <c:spPr>
            <a:solidFill>
              <a:schemeClr val="accent6"/>
            </a:solidFill>
            <a:ln>
              <a:noFill/>
            </a:ln>
            <a:effectLst/>
          </c:spPr>
          <c:invertIfNegative val="0"/>
          <c:cat>
            <c:strRef>
              <c:f>Pivots!$K$4:$K$10</c:f>
              <c:strCache>
                <c:ptCount val="6"/>
                <c:pt idx="0">
                  <c:v>Jan</c:v>
                </c:pt>
                <c:pt idx="1">
                  <c:v>Feb</c:v>
                </c:pt>
                <c:pt idx="2">
                  <c:v>Mar</c:v>
                </c:pt>
                <c:pt idx="3">
                  <c:v>Apr</c:v>
                </c:pt>
                <c:pt idx="4">
                  <c:v>May</c:v>
                </c:pt>
                <c:pt idx="5">
                  <c:v>Jun</c:v>
                </c:pt>
              </c:strCache>
            </c:strRef>
          </c:cat>
          <c:val>
            <c:numRef>
              <c:f>Pivots!$L$4:$L$10</c:f>
              <c:numCache>
                <c:formatCode>_-* #,##0_-;\-* #,##0_-;_-* "-"??_-;_-@_-</c:formatCode>
                <c:ptCount val="6"/>
                <c:pt idx="0">
                  <c:v>5000</c:v>
                </c:pt>
              </c:numCache>
            </c:numRef>
          </c:val>
          <c:extLst>
            <c:ext xmlns:c16="http://schemas.microsoft.com/office/drawing/2014/chart" uri="{C3380CC4-5D6E-409C-BE32-E72D297353CC}">
              <c16:uniqueId val="{00000002-1C1B-4C13-8433-563BA20058EB}"/>
            </c:ext>
          </c:extLst>
        </c:ser>
        <c:ser>
          <c:idx val="1"/>
          <c:order val="1"/>
          <c:tx>
            <c:strRef>
              <c:f>Pivots!$M$2:$M$3</c:f>
              <c:strCache>
                <c:ptCount val="1"/>
                <c:pt idx="0">
                  <c:v>Other</c:v>
                </c:pt>
              </c:strCache>
            </c:strRef>
          </c:tx>
          <c:spPr>
            <a:solidFill>
              <a:schemeClr val="accent5"/>
            </a:solidFill>
            <a:ln>
              <a:noFill/>
            </a:ln>
            <a:effectLst/>
          </c:spPr>
          <c:invertIfNegative val="0"/>
          <c:cat>
            <c:strRef>
              <c:f>Pivots!$K$4:$K$10</c:f>
              <c:strCache>
                <c:ptCount val="6"/>
                <c:pt idx="0">
                  <c:v>Jan</c:v>
                </c:pt>
                <c:pt idx="1">
                  <c:v>Feb</c:v>
                </c:pt>
                <c:pt idx="2">
                  <c:v>Mar</c:v>
                </c:pt>
                <c:pt idx="3">
                  <c:v>Apr</c:v>
                </c:pt>
                <c:pt idx="4">
                  <c:v>May</c:v>
                </c:pt>
                <c:pt idx="5">
                  <c:v>Jun</c:v>
                </c:pt>
              </c:strCache>
            </c:strRef>
          </c:cat>
          <c:val>
            <c:numRef>
              <c:f>Pivots!$M$4:$M$10</c:f>
              <c:numCache>
                <c:formatCode>_-* #,##0_-;\-* #,##0_-;_-* "-"??_-;_-@_-</c:formatCode>
                <c:ptCount val="6"/>
                <c:pt idx="4">
                  <c:v>23000</c:v>
                </c:pt>
              </c:numCache>
            </c:numRef>
          </c:val>
          <c:extLst>
            <c:ext xmlns:c16="http://schemas.microsoft.com/office/drawing/2014/chart" uri="{C3380CC4-5D6E-409C-BE32-E72D297353CC}">
              <c16:uniqueId val="{00000005-1C1B-4C13-8433-563BA20058EB}"/>
            </c:ext>
          </c:extLst>
        </c:ser>
        <c:ser>
          <c:idx val="2"/>
          <c:order val="2"/>
          <c:tx>
            <c:strRef>
              <c:f>Pivots!$N$2:$N$3</c:f>
              <c:strCache>
                <c:ptCount val="1"/>
                <c:pt idx="0">
                  <c:v>Vehicle Rent</c:v>
                </c:pt>
              </c:strCache>
            </c:strRef>
          </c:tx>
          <c:spPr>
            <a:solidFill>
              <a:schemeClr val="accent4"/>
            </a:solidFill>
            <a:ln>
              <a:noFill/>
            </a:ln>
            <a:effectLst/>
          </c:spPr>
          <c:invertIfNegative val="0"/>
          <c:cat>
            <c:strRef>
              <c:f>Pivots!$K$4:$K$10</c:f>
              <c:strCache>
                <c:ptCount val="6"/>
                <c:pt idx="0">
                  <c:v>Jan</c:v>
                </c:pt>
                <c:pt idx="1">
                  <c:v>Feb</c:v>
                </c:pt>
                <c:pt idx="2">
                  <c:v>Mar</c:v>
                </c:pt>
                <c:pt idx="3">
                  <c:v>Apr</c:v>
                </c:pt>
                <c:pt idx="4">
                  <c:v>May</c:v>
                </c:pt>
                <c:pt idx="5">
                  <c:v>Jun</c:v>
                </c:pt>
              </c:strCache>
            </c:strRef>
          </c:cat>
          <c:val>
            <c:numRef>
              <c:f>Pivots!$N$4:$N$10</c:f>
              <c:numCache>
                <c:formatCode>_-* #,##0_-;\-* #,##0_-;_-* "-"??_-;_-@_-</c:formatCode>
                <c:ptCount val="6"/>
                <c:pt idx="0">
                  <c:v>134500</c:v>
                </c:pt>
                <c:pt idx="1">
                  <c:v>125000</c:v>
                </c:pt>
                <c:pt idx="2">
                  <c:v>120000</c:v>
                </c:pt>
                <c:pt idx="3">
                  <c:v>127800</c:v>
                </c:pt>
                <c:pt idx="4">
                  <c:v>125000</c:v>
                </c:pt>
                <c:pt idx="5">
                  <c:v>60000</c:v>
                </c:pt>
              </c:numCache>
            </c:numRef>
          </c:val>
          <c:extLst>
            <c:ext xmlns:c16="http://schemas.microsoft.com/office/drawing/2014/chart" uri="{C3380CC4-5D6E-409C-BE32-E72D297353CC}">
              <c16:uniqueId val="{00000001-BB68-4E19-A9C9-8D49180DE4A6}"/>
            </c:ext>
          </c:extLst>
        </c:ser>
        <c:ser>
          <c:idx val="3"/>
          <c:order val="3"/>
          <c:tx>
            <c:strRef>
              <c:f>Pivots!$O$2:$O$3</c:f>
              <c:strCache>
                <c:ptCount val="1"/>
                <c:pt idx="0">
                  <c:v>Salary</c:v>
                </c:pt>
              </c:strCache>
            </c:strRef>
          </c:tx>
          <c:spPr>
            <a:solidFill>
              <a:schemeClr val="accent6">
                <a:lumMod val="60000"/>
              </a:schemeClr>
            </a:solidFill>
            <a:ln>
              <a:noFill/>
            </a:ln>
            <a:effectLst/>
          </c:spPr>
          <c:invertIfNegative val="0"/>
          <c:cat>
            <c:strRef>
              <c:f>Pivots!$K$4:$K$10</c:f>
              <c:strCache>
                <c:ptCount val="6"/>
                <c:pt idx="0">
                  <c:v>Jan</c:v>
                </c:pt>
                <c:pt idx="1">
                  <c:v>Feb</c:v>
                </c:pt>
                <c:pt idx="2">
                  <c:v>Mar</c:v>
                </c:pt>
                <c:pt idx="3">
                  <c:v>Apr</c:v>
                </c:pt>
                <c:pt idx="4">
                  <c:v>May</c:v>
                </c:pt>
                <c:pt idx="5">
                  <c:v>Jun</c:v>
                </c:pt>
              </c:strCache>
            </c:strRef>
          </c:cat>
          <c:val>
            <c:numRef>
              <c:f>Pivots!$O$4:$O$10</c:f>
              <c:numCache>
                <c:formatCode>_-* #,##0_-;\-* #,##0_-;_-* "-"??_-;_-@_-</c:formatCode>
                <c:ptCount val="6"/>
                <c:pt idx="0">
                  <c:v>280828</c:v>
                </c:pt>
                <c:pt idx="1">
                  <c:v>319226</c:v>
                </c:pt>
                <c:pt idx="2">
                  <c:v>311283</c:v>
                </c:pt>
                <c:pt idx="3">
                  <c:v>323000</c:v>
                </c:pt>
                <c:pt idx="4">
                  <c:v>233000</c:v>
                </c:pt>
                <c:pt idx="5">
                  <c:v>148000</c:v>
                </c:pt>
              </c:numCache>
            </c:numRef>
          </c:val>
          <c:extLst>
            <c:ext xmlns:c16="http://schemas.microsoft.com/office/drawing/2014/chart" uri="{C3380CC4-5D6E-409C-BE32-E72D297353CC}">
              <c16:uniqueId val="{00000000-5EE5-4C27-9AB7-96062986570B}"/>
            </c:ext>
          </c:extLst>
        </c:ser>
        <c:dLbls>
          <c:showLegendKey val="0"/>
          <c:showVal val="0"/>
          <c:showCatName val="0"/>
          <c:showSerName val="0"/>
          <c:showPercent val="0"/>
          <c:showBubbleSize val="0"/>
        </c:dLbls>
        <c:gapWidth val="150"/>
        <c:overlap val="100"/>
        <c:axId val="1139041616"/>
        <c:axId val="1139041976"/>
      </c:barChart>
      <c:catAx>
        <c:axId val="11390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41976"/>
        <c:crosses val="autoZero"/>
        <c:auto val="1"/>
        <c:lblAlgn val="ctr"/>
        <c:lblOffset val="100"/>
        <c:noMultiLvlLbl val="0"/>
      </c:catAx>
      <c:valAx>
        <c:axId val="113904197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41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Expense.xlsx]Pivots!PivotTable1</c:name>
    <c:fmtId val="2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Business Income vs Expense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Pivots!$A$114</c:f>
              <c:strCache>
                <c:ptCount val="1"/>
                <c:pt idx="0">
                  <c:v>Car Rent Income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Pivots!$A$115</c:f>
              <c:strCache>
                <c:ptCount val="1"/>
                <c:pt idx="0">
                  <c:v>Total</c:v>
                </c:pt>
              </c:strCache>
            </c:strRef>
          </c:cat>
          <c:val>
            <c:numRef>
              <c:f>Pivots!$A$115</c:f>
              <c:numCache>
                <c:formatCode>_-* #,##0_-;\-* #,##0_-;_-* "-"??_-;_-@_-</c:formatCode>
                <c:ptCount val="1"/>
                <c:pt idx="0">
                  <c:v>692300</c:v>
                </c:pt>
              </c:numCache>
            </c:numRef>
          </c:val>
          <c:extLst>
            <c:ext xmlns:c16="http://schemas.microsoft.com/office/drawing/2014/chart" uri="{C3380CC4-5D6E-409C-BE32-E72D297353CC}">
              <c16:uniqueId val="{00000000-F0AA-4129-8671-72BA086B911A}"/>
            </c:ext>
          </c:extLst>
        </c:ser>
        <c:ser>
          <c:idx val="1"/>
          <c:order val="1"/>
          <c:tx>
            <c:strRef>
              <c:f>Pivots!$B$114</c:f>
              <c:strCache>
                <c:ptCount val="1"/>
                <c:pt idx="0">
                  <c:v>Car Rent Expense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Pivots!$A$115</c:f>
              <c:strCache>
                <c:ptCount val="1"/>
                <c:pt idx="0">
                  <c:v>Total</c:v>
                </c:pt>
              </c:strCache>
            </c:strRef>
          </c:cat>
          <c:val>
            <c:numRef>
              <c:f>Pivots!$B$115</c:f>
              <c:numCache>
                <c:formatCode>_-* #,##0_-;\-* #,##0_-;_-* "-"??_-;_-@_-</c:formatCode>
                <c:ptCount val="1"/>
                <c:pt idx="0">
                  <c:v>597216</c:v>
                </c:pt>
              </c:numCache>
            </c:numRef>
          </c:val>
          <c:extLst>
            <c:ext xmlns:c16="http://schemas.microsoft.com/office/drawing/2014/chart" uri="{C3380CC4-5D6E-409C-BE32-E72D297353CC}">
              <c16:uniqueId val="{00000001-F0AA-4129-8671-72BA086B911A}"/>
            </c:ext>
          </c:extLst>
        </c:ser>
        <c:dLbls>
          <c:dLblPos val="ctr"/>
          <c:showLegendKey val="0"/>
          <c:showVal val="1"/>
          <c:showCatName val="0"/>
          <c:showSerName val="0"/>
          <c:showPercent val="0"/>
          <c:showBubbleSize val="0"/>
        </c:dLbls>
        <c:gapWidth val="150"/>
        <c:overlap val="100"/>
        <c:axId val="974561760"/>
        <c:axId val="974562120"/>
      </c:barChart>
      <c:catAx>
        <c:axId val="97456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562120"/>
        <c:crosses val="autoZero"/>
        <c:auto val="1"/>
        <c:lblAlgn val="ctr"/>
        <c:lblOffset val="100"/>
        <c:noMultiLvlLbl val="0"/>
      </c:catAx>
      <c:valAx>
        <c:axId val="974562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56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Expense.xlsx]Pivots!PivotTable2</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Utility Bills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Pivots!$B$128:$B$129</c:f>
              <c:strCache>
                <c:ptCount val="1"/>
                <c:pt idx="0">
                  <c:v>Electricity </c:v>
                </c:pt>
              </c:strCache>
            </c:strRef>
          </c:tx>
          <c:spPr>
            <a:solidFill>
              <a:schemeClr val="accent1"/>
            </a:solidFill>
            <a:ln>
              <a:noFill/>
            </a:ln>
            <a:effectLst/>
          </c:spPr>
          <c:invertIfNegative val="0"/>
          <c:cat>
            <c:strRef>
              <c:f>Pivots!$A$130:$A$136</c:f>
              <c:strCache>
                <c:ptCount val="6"/>
                <c:pt idx="0">
                  <c:v>Jan</c:v>
                </c:pt>
                <c:pt idx="1">
                  <c:v>Feb</c:v>
                </c:pt>
                <c:pt idx="2">
                  <c:v>Mar</c:v>
                </c:pt>
                <c:pt idx="3">
                  <c:v>Apr</c:v>
                </c:pt>
                <c:pt idx="4">
                  <c:v>May</c:v>
                </c:pt>
                <c:pt idx="5">
                  <c:v>Jun</c:v>
                </c:pt>
              </c:strCache>
            </c:strRef>
          </c:cat>
          <c:val>
            <c:numRef>
              <c:f>Pivots!$B$130:$B$136</c:f>
              <c:numCache>
                <c:formatCode>_-* #,##0_-;\-* #,##0_-;_-* "-"??_-;_-@_-</c:formatCode>
                <c:ptCount val="6"/>
                <c:pt idx="0">
                  <c:v>5010</c:v>
                </c:pt>
                <c:pt idx="1">
                  <c:v>4626</c:v>
                </c:pt>
                <c:pt idx="2">
                  <c:v>4963.34</c:v>
                </c:pt>
                <c:pt idx="3">
                  <c:v>4307.38</c:v>
                </c:pt>
                <c:pt idx="4">
                  <c:v>3784</c:v>
                </c:pt>
              </c:numCache>
            </c:numRef>
          </c:val>
          <c:extLst>
            <c:ext xmlns:c16="http://schemas.microsoft.com/office/drawing/2014/chart" uri="{C3380CC4-5D6E-409C-BE32-E72D297353CC}">
              <c16:uniqueId val="{00000000-435C-4A97-86AC-47FE9E4A5438}"/>
            </c:ext>
          </c:extLst>
        </c:ser>
        <c:ser>
          <c:idx val="1"/>
          <c:order val="1"/>
          <c:tx>
            <c:strRef>
              <c:f>Pivots!$C$128:$C$129</c:f>
              <c:strCache>
                <c:ptCount val="1"/>
                <c:pt idx="0">
                  <c:v>Internet/Phones</c:v>
                </c:pt>
              </c:strCache>
            </c:strRef>
          </c:tx>
          <c:spPr>
            <a:solidFill>
              <a:schemeClr val="accent2"/>
            </a:solidFill>
            <a:ln>
              <a:noFill/>
            </a:ln>
            <a:effectLst/>
          </c:spPr>
          <c:invertIfNegative val="0"/>
          <c:cat>
            <c:strRef>
              <c:f>Pivots!$A$130:$A$136</c:f>
              <c:strCache>
                <c:ptCount val="6"/>
                <c:pt idx="0">
                  <c:v>Jan</c:v>
                </c:pt>
                <c:pt idx="1">
                  <c:v>Feb</c:v>
                </c:pt>
                <c:pt idx="2">
                  <c:v>Mar</c:v>
                </c:pt>
                <c:pt idx="3">
                  <c:v>Apr</c:v>
                </c:pt>
                <c:pt idx="4">
                  <c:v>May</c:v>
                </c:pt>
                <c:pt idx="5">
                  <c:v>Jun</c:v>
                </c:pt>
              </c:strCache>
            </c:strRef>
          </c:cat>
          <c:val>
            <c:numRef>
              <c:f>Pivots!$C$130:$C$136</c:f>
              <c:numCache>
                <c:formatCode>_-* #,##0_-;\-* #,##0_-;_-* "-"??_-;_-@_-</c:formatCode>
                <c:ptCount val="6"/>
                <c:pt idx="0">
                  <c:v>7935.3799999999992</c:v>
                </c:pt>
                <c:pt idx="1">
                  <c:v>6459.17</c:v>
                </c:pt>
                <c:pt idx="2">
                  <c:v>7723.1900000000005</c:v>
                </c:pt>
                <c:pt idx="3">
                  <c:v>6868.23</c:v>
                </c:pt>
                <c:pt idx="4">
                  <c:v>7195.73</c:v>
                </c:pt>
                <c:pt idx="5">
                  <c:v>6882.8099999999995</c:v>
                </c:pt>
              </c:numCache>
            </c:numRef>
          </c:val>
          <c:extLst>
            <c:ext xmlns:c16="http://schemas.microsoft.com/office/drawing/2014/chart" uri="{C3380CC4-5D6E-409C-BE32-E72D297353CC}">
              <c16:uniqueId val="{00000001-435C-4A97-86AC-47FE9E4A5438}"/>
            </c:ext>
          </c:extLst>
        </c:ser>
        <c:ser>
          <c:idx val="2"/>
          <c:order val="2"/>
          <c:tx>
            <c:strRef>
              <c:f>Pivots!$D$128:$D$129</c:f>
              <c:strCache>
                <c:ptCount val="1"/>
                <c:pt idx="0">
                  <c:v>Water </c:v>
                </c:pt>
              </c:strCache>
            </c:strRef>
          </c:tx>
          <c:spPr>
            <a:solidFill>
              <a:schemeClr val="accent3"/>
            </a:solidFill>
            <a:ln>
              <a:noFill/>
            </a:ln>
            <a:effectLst/>
          </c:spPr>
          <c:invertIfNegative val="0"/>
          <c:cat>
            <c:strRef>
              <c:f>Pivots!$A$130:$A$136</c:f>
              <c:strCache>
                <c:ptCount val="6"/>
                <c:pt idx="0">
                  <c:v>Jan</c:v>
                </c:pt>
                <c:pt idx="1">
                  <c:v>Feb</c:v>
                </c:pt>
                <c:pt idx="2">
                  <c:v>Mar</c:v>
                </c:pt>
                <c:pt idx="3">
                  <c:v>Apr</c:v>
                </c:pt>
                <c:pt idx="4">
                  <c:v>May</c:v>
                </c:pt>
                <c:pt idx="5">
                  <c:v>Jun</c:v>
                </c:pt>
              </c:strCache>
            </c:strRef>
          </c:cat>
          <c:val>
            <c:numRef>
              <c:f>Pivots!$D$130:$D$136</c:f>
              <c:numCache>
                <c:formatCode>_-* #,##0_-;\-* #,##0_-;_-* "-"??_-;_-@_-</c:formatCode>
                <c:ptCount val="6"/>
                <c:pt idx="0">
                  <c:v>3971.98</c:v>
                </c:pt>
                <c:pt idx="1">
                  <c:v>4000</c:v>
                </c:pt>
                <c:pt idx="2">
                  <c:v>3878.48</c:v>
                </c:pt>
                <c:pt idx="3">
                  <c:v>2792.17</c:v>
                </c:pt>
                <c:pt idx="4">
                  <c:v>3757.59</c:v>
                </c:pt>
              </c:numCache>
            </c:numRef>
          </c:val>
          <c:extLst>
            <c:ext xmlns:c16="http://schemas.microsoft.com/office/drawing/2014/chart" uri="{C3380CC4-5D6E-409C-BE32-E72D297353CC}">
              <c16:uniqueId val="{00000002-435C-4A97-86AC-47FE9E4A5438}"/>
            </c:ext>
          </c:extLst>
        </c:ser>
        <c:dLbls>
          <c:showLegendKey val="0"/>
          <c:showVal val="0"/>
          <c:showCatName val="0"/>
          <c:showSerName val="0"/>
          <c:showPercent val="0"/>
          <c:showBubbleSize val="0"/>
        </c:dLbls>
        <c:gapWidth val="150"/>
        <c:axId val="371332736"/>
        <c:axId val="371332376"/>
      </c:barChart>
      <c:catAx>
        <c:axId val="371332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32376"/>
        <c:crosses val="autoZero"/>
        <c:auto val="1"/>
        <c:lblAlgn val="ctr"/>
        <c:lblOffset val="100"/>
        <c:noMultiLvlLbl val="0"/>
      </c:catAx>
      <c:valAx>
        <c:axId val="37133237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3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13</xdr:col>
      <xdr:colOff>4764</xdr:colOff>
      <xdr:row>28</xdr:row>
      <xdr:rowOff>11907</xdr:rowOff>
    </xdr:from>
    <xdr:to>
      <xdr:col>21</xdr:col>
      <xdr:colOff>23813</xdr:colOff>
      <xdr:row>52</xdr:row>
      <xdr:rowOff>83345</xdr:rowOff>
    </xdr:to>
    <xdr:graphicFrame macro="">
      <xdr:nvGraphicFramePr>
        <xdr:cNvPr id="5" name="Chart 4">
          <a:extLst>
            <a:ext uri="{FF2B5EF4-FFF2-40B4-BE49-F238E27FC236}">
              <a16:creationId xmlns:a16="http://schemas.microsoft.com/office/drawing/2014/main" id="{C5E07DE9-7515-4204-AD15-984DC2221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38101</xdr:colOff>
      <xdr:row>0</xdr:row>
      <xdr:rowOff>47625</xdr:rowOff>
    </xdr:from>
    <xdr:to>
      <xdr:col>29</xdr:col>
      <xdr:colOff>107156</xdr:colOff>
      <xdr:row>3</xdr:row>
      <xdr:rowOff>152400</xdr:rowOff>
    </xdr:to>
    <xdr:sp macro="" textlink="">
      <xdr:nvSpPr>
        <xdr:cNvPr id="6" name="Rectangle: Rounded Corners 5">
          <a:extLst>
            <a:ext uri="{FF2B5EF4-FFF2-40B4-BE49-F238E27FC236}">
              <a16:creationId xmlns:a16="http://schemas.microsoft.com/office/drawing/2014/main" id="{22FF24D8-18C5-CA7F-AB65-95F16A29416D}"/>
            </a:ext>
          </a:extLst>
        </xdr:cNvPr>
        <xdr:cNvSpPr/>
      </xdr:nvSpPr>
      <xdr:spPr>
        <a:xfrm>
          <a:off x="38101" y="47625"/>
          <a:ext cx="17428368" cy="676275"/>
        </a:xfrm>
        <a:prstGeom prst="roundRect">
          <a:avLst/>
        </a:prstGeom>
        <a:solidFill>
          <a:schemeClr val="tx1">
            <a:lumMod val="50000"/>
            <a:lumOff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kern="1200" cap="none" spc="0">
              <a:ln w="0"/>
              <a:solidFill>
                <a:schemeClr val="bg1"/>
              </a:solidFill>
              <a:effectLst>
                <a:outerShdw blurRad="38100" dist="19050" dir="2700000" algn="tl" rotWithShape="0">
                  <a:schemeClr val="dk1">
                    <a:alpha val="40000"/>
                  </a:schemeClr>
                </a:outerShdw>
              </a:effectLst>
            </a:rPr>
            <a:t>Home</a:t>
          </a:r>
          <a:r>
            <a:rPr lang="en-US" sz="2800" b="1" kern="1200" cap="none" spc="0" baseline="0">
              <a:ln w="0"/>
              <a:solidFill>
                <a:schemeClr val="bg1"/>
              </a:solidFill>
              <a:effectLst>
                <a:outerShdw blurRad="38100" dist="19050" dir="2700000" algn="tl" rotWithShape="0">
                  <a:schemeClr val="dk1">
                    <a:alpha val="40000"/>
                  </a:schemeClr>
                </a:outerShdw>
              </a:effectLst>
            </a:rPr>
            <a:t> Income &amp; Expense </a:t>
          </a:r>
          <a:r>
            <a:rPr lang="en-US" sz="2800" b="1" kern="1200" cap="none" spc="0" baseline="0">
              <a:ln w="0"/>
              <a:solidFill>
                <a:srgbClr val="FFC000"/>
              </a:solidFill>
              <a:effectLst>
                <a:outerShdw blurRad="38100" dist="19050" dir="2700000" algn="tl" rotWithShape="0">
                  <a:schemeClr val="dk1">
                    <a:alpha val="40000"/>
                  </a:schemeClr>
                </a:outerShdw>
              </a:effectLst>
            </a:rPr>
            <a:t>Dashboard</a:t>
          </a:r>
          <a:endParaRPr lang="en-US" sz="2800" b="1" kern="1200" cap="none" spc="0">
            <a:ln w="0"/>
            <a:solidFill>
              <a:srgbClr val="FFC000"/>
            </a:solidFill>
            <a:effectLst>
              <a:outerShdw blurRad="38100" dist="19050" dir="2700000" algn="tl" rotWithShape="0">
                <a:schemeClr val="dk1">
                  <a:alpha val="40000"/>
                </a:schemeClr>
              </a:outerShdw>
            </a:effectLst>
          </a:endParaRPr>
        </a:p>
      </xdr:txBody>
    </xdr:sp>
    <xdr:clientData/>
  </xdr:twoCellAnchor>
  <xdr:twoCellAnchor>
    <xdr:from>
      <xdr:col>3</xdr:col>
      <xdr:colOff>385762</xdr:colOff>
      <xdr:row>4</xdr:row>
      <xdr:rowOff>59530</xdr:rowOff>
    </xdr:from>
    <xdr:to>
      <xdr:col>12</xdr:col>
      <xdr:colOff>559594</xdr:colOff>
      <xdr:row>27</xdr:row>
      <xdr:rowOff>166688</xdr:rowOff>
    </xdr:to>
    <xdr:graphicFrame macro="">
      <xdr:nvGraphicFramePr>
        <xdr:cNvPr id="7" name="Chart 6">
          <a:extLst>
            <a:ext uri="{FF2B5EF4-FFF2-40B4-BE49-F238E27FC236}">
              <a16:creationId xmlns:a16="http://schemas.microsoft.com/office/drawing/2014/main" id="{76C7D68C-54F0-4A6D-A053-68A5E9365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392906</xdr:colOff>
      <xdr:row>52</xdr:row>
      <xdr:rowOff>119062</xdr:rowOff>
    </xdr:from>
    <xdr:to>
      <xdr:col>12</xdr:col>
      <xdr:colOff>547687</xdr:colOff>
      <xdr:row>81</xdr:row>
      <xdr:rowOff>107156</xdr:rowOff>
    </xdr:to>
    <xdr:graphicFrame macro="">
      <xdr:nvGraphicFramePr>
        <xdr:cNvPr id="8" name="Chart 7">
          <a:extLst>
            <a:ext uri="{FF2B5EF4-FFF2-40B4-BE49-F238E27FC236}">
              <a16:creationId xmlns:a16="http://schemas.microsoft.com/office/drawing/2014/main" id="{737B14AF-07DA-4D68-B28A-9A34821A7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380999</xdr:colOff>
      <xdr:row>28</xdr:row>
      <xdr:rowOff>23813</xdr:rowOff>
    </xdr:from>
    <xdr:to>
      <xdr:col>12</xdr:col>
      <xdr:colOff>559594</xdr:colOff>
      <xdr:row>52</xdr:row>
      <xdr:rowOff>83345</xdr:rowOff>
    </xdr:to>
    <xdr:graphicFrame macro="">
      <xdr:nvGraphicFramePr>
        <xdr:cNvPr id="9" name="Chart 8">
          <a:extLst>
            <a:ext uri="{FF2B5EF4-FFF2-40B4-BE49-F238E27FC236}">
              <a16:creationId xmlns:a16="http://schemas.microsoft.com/office/drawing/2014/main" id="{62D95A99-7165-4268-A970-CFC5C9BB7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xdr:colOff>
      <xdr:row>4</xdr:row>
      <xdr:rowOff>59531</xdr:rowOff>
    </xdr:from>
    <xdr:to>
      <xdr:col>21</xdr:col>
      <xdr:colOff>23814</xdr:colOff>
      <xdr:row>27</xdr:row>
      <xdr:rowOff>166687</xdr:rowOff>
    </xdr:to>
    <xdr:graphicFrame macro="">
      <xdr:nvGraphicFramePr>
        <xdr:cNvPr id="10" name="Chart 9">
          <a:extLst>
            <a:ext uri="{FF2B5EF4-FFF2-40B4-BE49-F238E27FC236}">
              <a16:creationId xmlns:a16="http://schemas.microsoft.com/office/drawing/2014/main" id="{2E877105-E664-4E33-A407-AE2A4CA0B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71440</xdr:colOff>
      <xdr:row>52</xdr:row>
      <xdr:rowOff>130968</xdr:rowOff>
    </xdr:from>
    <xdr:to>
      <xdr:col>29</xdr:col>
      <xdr:colOff>95251</xdr:colOff>
      <xdr:row>81</xdr:row>
      <xdr:rowOff>107155</xdr:rowOff>
    </xdr:to>
    <xdr:graphicFrame macro="">
      <xdr:nvGraphicFramePr>
        <xdr:cNvPr id="11" name="Chart 10">
          <a:extLst>
            <a:ext uri="{FF2B5EF4-FFF2-40B4-BE49-F238E27FC236}">
              <a16:creationId xmlns:a16="http://schemas.microsoft.com/office/drawing/2014/main" id="{B40FD06A-C7F2-477E-9D0B-96FEB918E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71438</xdr:colOff>
      <xdr:row>13</xdr:row>
      <xdr:rowOff>35715</xdr:rowOff>
    </xdr:from>
    <xdr:to>
      <xdr:col>29</xdr:col>
      <xdr:colOff>95249</xdr:colOff>
      <xdr:row>27</xdr:row>
      <xdr:rowOff>154778</xdr:rowOff>
    </xdr:to>
    <xdr:graphicFrame macro="">
      <xdr:nvGraphicFramePr>
        <xdr:cNvPr id="12" name="Chart 11">
          <a:extLst>
            <a:ext uri="{FF2B5EF4-FFF2-40B4-BE49-F238E27FC236}">
              <a16:creationId xmlns:a16="http://schemas.microsoft.com/office/drawing/2014/main" id="{C9619389-916C-45FB-B368-A04AA0542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71436</xdr:colOff>
      <xdr:row>28</xdr:row>
      <xdr:rowOff>11905</xdr:rowOff>
    </xdr:from>
    <xdr:to>
      <xdr:col>29</xdr:col>
      <xdr:colOff>107157</xdr:colOff>
      <xdr:row>52</xdr:row>
      <xdr:rowOff>59531</xdr:rowOff>
    </xdr:to>
    <xdr:graphicFrame macro="">
      <xdr:nvGraphicFramePr>
        <xdr:cNvPr id="14" name="Chart 13">
          <a:extLst>
            <a:ext uri="{FF2B5EF4-FFF2-40B4-BE49-F238E27FC236}">
              <a16:creationId xmlns:a16="http://schemas.microsoft.com/office/drawing/2014/main" id="{F5344D4A-6A57-49CE-AD46-70E564A52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29</xdr:row>
      <xdr:rowOff>33338</xdr:rowOff>
    </xdr:from>
    <xdr:to>
      <xdr:col>3</xdr:col>
      <xdr:colOff>333375</xdr:colOff>
      <xdr:row>36</xdr:row>
      <xdr:rowOff>0</xdr:rowOff>
    </xdr:to>
    <mc:AlternateContent xmlns:mc="http://schemas.openxmlformats.org/markup-compatibility/2006" xmlns:tsle="http://schemas.microsoft.com/office/drawing/2012/timeslicer">
      <mc:Choice Requires="tsle">
        <xdr:graphicFrame macro="">
          <xdr:nvGraphicFramePr>
            <xdr:cNvPr id="15" name="Date">
              <a:extLst>
                <a:ext uri="{FF2B5EF4-FFF2-40B4-BE49-F238E27FC236}">
                  <a16:creationId xmlns:a16="http://schemas.microsoft.com/office/drawing/2014/main" id="{EA5E2FFC-DCD0-2304-72C8-16C96E7E499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5557838"/>
              <a:ext cx="215503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53</xdr:row>
      <xdr:rowOff>59521</xdr:rowOff>
    </xdr:from>
    <xdr:to>
      <xdr:col>3</xdr:col>
      <xdr:colOff>321468</xdr:colOff>
      <xdr:row>101</xdr:row>
      <xdr:rowOff>71437</xdr:rowOff>
    </xdr:to>
    <mc:AlternateContent xmlns:mc="http://schemas.openxmlformats.org/markup-compatibility/2006" xmlns:a14="http://schemas.microsoft.com/office/drawing/2010/main">
      <mc:Choice Requires="a14">
        <xdr:graphicFrame macro="">
          <xdr:nvGraphicFramePr>
            <xdr:cNvPr id="16" name="Expense Category">
              <a:extLst>
                <a:ext uri="{FF2B5EF4-FFF2-40B4-BE49-F238E27FC236}">
                  <a16:creationId xmlns:a16="http://schemas.microsoft.com/office/drawing/2014/main" id="{8CA3DA8F-6E97-71B6-05DA-D01F5072C903}"/>
                </a:ext>
              </a:extLst>
            </xdr:cNvPr>
            <xdr:cNvGraphicFramePr/>
          </xdr:nvGraphicFramePr>
          <xdr:xfrm>
            <a:off x="0" y="0"/>
            <a:ext cx="0" cy="0"/>
          </xdr:xfrm>
          <a:graphic>
            <a:graphicData uri="http://schemas.microsoft.com/office/drawing/2010/slicer">
              <sle:slicer xmlns:sle="http://schemas.microsoft.com/office/drawing/2010/slicer" name="Expense Category"/>
            </a:graphicData>
          </a:graphic>
        </xdr:graphicFrame>
      </mc:Choice>
      <mc:Fallback xmlns="">
        <xdr:sp macro="" textlink="">
          <xdr:nvSpPr>
            <xdr:cNvPr id="0" name=""/>
            <xdr:cNvSpPr>
              <a:spLocks noTextEdit="1"/>
            </xdr:cNvSpPr>
          </xdr:nvSpPr>
          <xdr:spPr>
            <a:xfrm>
              <a:off x="0" y="10156022"/>
              <a:ext cx="2143124" cy="510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47625</xdr:rowOff>
    </xdr:from>
    <xdr:to>
      <xdr:col>3</xdr:col>
      <xdr:colOff>333374</xdr:colOff>
      <xdr:row>46</xdr:row>
      <xdr:rowOff>119062</xdr:rowOff>
    </xdr:to>
    <mc:AlternateContent xmlns:mc="http://schemas.openxmlformats.org/markup-compatibility/2006" xmlns:a14="http://schemas.microsoft.com/office/drawing/2010/main">
      <mc:Choice Requires="a14">
        <xdr:graphicFrame macro="">
          <xdr:nvGraphicFramePr>
            <xdr:cNvPr id="17" name="Family Member Name">
              <a:extLst>
                <a:ext uri="{FF2B5EF4-FFF2-40B4-BE49-F238E27FC236}">
                  <a16:creationId xmlns:a16="http://schemas.microsoft.com/office/drawing/2014/main" id="{60145D2B-EE87-77E8-8F76-1EF062979DC6}"/>
                </a:ext>
              </a:extLst>
            </xdr:cNvPr>
            <xdr:cNvGraphicFramePr/>
          </xdr:nvGraphicFramePr>
          <xdr:xfrm>
            <a:off x="0" y="0"/>
            <a:ext cx="0" cy="0"/>
          </xdr:xfrm>
          <a:graphic>
            <a:graphicData uri="http://schemas.microsoft.com/office/drawing/2010/slicer">
              <sle:slicer xmlns:sle="http://schemas.microsoft.com/office/drawing/2010/slicer" name="Family Member Name"/>
            </a:graphicData>
          </a:graphic>
        </xdr:graphicFrame>
      </mc:Choice>
      <mc:Fallback xmlns="">
        <xdr:sp macro="" textlink="">
          <xdr:nvSpPr>
            <xdr:cNvPr id="0" name=""/>
            <xdr:cNvSpPr>
              <a:spLocks noTextEdit="1"/>
            </xdr:cNvSpPr>
          </xdr:nvSpPr>
          <xdr:spPr>
            <a:xfrm>
              <a:off x="0" y="6965157"/>
              <a:ext cx="215503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166687</xdr:rowOff>
    </xdr:from>
    <xdr:to>
      <xdr:col>3</xdr:col>
      <xdr:colOff>309563</xdr:colOff>
      <xdr:row>52</xdr:row>
      <xdr:rowOff>166687</xdr:rowOff>
    </xdr:to>
    <mc:AlternateContent xmlns:mc="http://schemas.openxmlformats.org/markup-compatibility/2006" xmlns:a14="http://schemas.microsoft.com/office/drawing/2010/main">
      <mc:Choice Requires="a14">
        <xdr:graphicFrame macro="">
          <xdr:nvGraphicFramePr>
            <xdr:cNvPr id="18" name="Income Category">
              <a:extLst>
                <a:ext uri="{FF2B5EF4-FFF2-40B4-BE49-F238E27FC236}">
                  <a16:creationId xmlns:a16="http://schemas.microsoft.com/office/drawing/2014/main" id="{68F977BB-AA37-EE96-7AF7-595560C9ED0A}"/>
                </a:ext>
              </a:extLst>
            </xdr:cNvPr>
            <xdr:cNvGraphicFramePr/>
          </xdr:nvGraphicFramePr>
          <xdr:xfrm>
            <a:off x="0" y="0"/>
            <a:ext cx="0" cy="0"/>
          </xdr:xfrm>
          <a:graphic>
            <a:graphicData uri="http://schemas.microsoft.com/office/drawing/2010/slicer">
              <sle:slicer xmlns:sle="http://schemas.microsoft.com/office/drawing/2010/slicer" name="Income Category"/>
            </a:graphicData>
          </a:graphic>
        </xdr:graphicFrame>
      </mc:Choice>
      <mc:Fallback xmlns="">
        <xdr:sp macro="" textlink="">
          <xdr:nvSpPr>
            <xdr:cNvPr id="0" name=""/>
            <xdr:cNvSpPr>
              <a:spLocks noTextEdit="1"/>
            </xdr:cNvSpPr>
          </xdr:nvSpPr>
          <xdr:spPr>
            <a:xfrm>
              <a:off x="0" y="8667752"/>
              <a:ext cx="2131219" cy="1404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595312</xdr:colOff>
      <xdr:row>52</xdr:row>
      <xdr:rowOff>119062</xdr:rowOff>
    </xdr:from>
    <xdr:to>
      <xdr:col>21</xdr:col>
      <xdr:colOff>35718</xdr:colOff>
      <xdr:row>81</xdr:row>
      <xdr:rowOff>95250</xdr:rowOff>
    </xdr:to>
    <xdr:graphicFrame macro="">
      <xdr:nvGraphicFramePr>
        <xdr:cNvPr id="20" name="Chart 19">
          <a:extLst>
            <a:ext uri="{FF2B5EF4-FFF2-40B4-BE49-F238E27FC236}">
              <a16:creationId xmlns:a16="http://schemas.microsoft.com/office/drawing/2014/main" id="{BCB9D31C-9978-47CC-B983-A5DB3D507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35719</xdr:colOff>
      <xdr:row>4</xdr:row>
      <xdr:rowOff>71437</xdr:rowOff>
    </xdr:from>
    <xdr:to>
      <xdr:col>3</xdr:col>
      <xdr:colOff>333375</xdr:colOff>
      <xdr:row>28</xdr:row>
      <xdr:rowOff>178594</xdr:rowOff>
    </xdr:to>
    <xdr:sp macro="" textlink="">
      <xdr:nvSpPr>
        <xdr:cNvPr id="2" name="Rectangle: Rounded Corners 1">
          <a:extLst>
            <a:ext uri="{FF2B5EF4-FFF2-40B4-BE49-F238E27FC236}">
              <a16:creationId xmlns:a16="http://schemas.microsoft.com/office/drawing/2014/main" id="{D3BC63AF-A2EA-46DB-8627-3645B3C8B127}"/>
            </a:ext>
          </a:extLst>
        </xdr:cNvPr>
        <xdr:cNvSpPr/>
      </xdr:nvSpPr>
      <xdr:spPr>
        <a:xfrm>
          <a:off x="35719" y="833437"/>
          <a:ext cx="2119312" cy="4679157"/>
        </a:xfrm>
        <a:prstGeom prst="roundRect">
          <a:avLst>
            <a:gd name="adj" fmla="val 4735"/>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190500</xdr:colOff>
      <xdr:row>5</xdr:row>
      <xdr:rowOff>23812</xdr:rowOff>
    </xdr:from>
    <xdr:to>
      <xdr:col>3</xdr:col>
      <xdr:colOff>119063</xdr:colOff>
      <xdr:row>8</xdr:row>
      <xdr:rowOff>95250</xdr:rowOff>
    </xdr:to>
    <xdr:sp macro="" textlink="">
      <xdr:nvSpPr>
        <xdr:cNvPr id="3" name="TextBox 2">
          <a:extLst>
            <a:ext uri="{FF2B5EF4-FFF2-40B4-BE49-F238E27FC236}">
              <a16:creationId xmlns:a16="http://schemas.microsoft.com/office/drawing/2014/main" id="{D18738B4-4903-F969-6DE2-0C0C9178A4E6}"/>
            </a:ext>
          </a:extLst>
        </xdr:cNvPr>
        <xdr:cNvSpPr txBox="1"/>
      </xdr:nvSpPr>
      <xdr:spPr>
        <a:xfrm>
          <a:off x="190500" y="976312"/>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Loan/Lease</a:t>
          </a:r>
        </a:p>
      </xdr:txBody>
    </xdr:sp>
    <xdr:clientData/>
  </xdr:twoCellAnchor>
  <xdr:twoCellAnchor>
    <xdr:from>
      <xdr:col>0</xdr:col>
      <xdr:colOff>190499</xdr:colOff>
      <xdr:row>9</xdr:row>
      <xdr:rowOff>11906</xdr:rowOff>
    </xdr:from>
    <xdr:to>
      <xdr:col>3</xdr:col>
      <xdr:colOff>119062</xdr:colOff>
      <xdr:row>12</xdr:row>
      <xdr:rowOff>83344</xdr:rowOff>
    </xdr:to>
    <xdr:sp macro="" textlink="">
      <xdr:nvSpPr>
        <xdr:cNvPr id="4" name="TextBox 3">
          <a:extLst>
            <a:ext uri="{FF2B5EF4-FFF2-40B4-BE49-F238E27FC236}">
              <a16:creationId xmlns:a16="http://schemas.microsoft.com/office/drawing/2014/main" id="{8C2217E8-37B7-4AF6-A6F4-70FAC748CB4D}"/>
            </a:ext>
          </a:extLst>
        </xdr:cNvPr>
        <xdr:cNvSpPr txBox="1"/>
      </xdr:nvSpPr>
      <xdr:spPr>
        <a:xfrm>
          <a:off x="190499" y="1726406"/>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Vehicle Repair</a:t>
          </a:r>
        </a:p>
      </xdr:txBody>
    </xdr:sp>
    <xdr:clientData/>
  </xdr:twoCellAnchor>
  <xdr:twoCellAnchor>
    <xdr:from>
      <xdr:col>0</xdr:col>
      <xdr:colOff>195262</xdr:colOff>
      <xdr:row>13</xdr:row>
      <xdr:rowOff>16668</xdr:rowOff>
    </xdr:from>
    <xdr:to>
      <xdr:col>3</xdr:col>
      <xdr:colOff>123825</xdr:colOff>
      <xdr:row>16</xdr:row>
      <xdr:rowOff>88106</xdr:rowOff>
    </xdr:to>
    <xdr:sp macro="" textlink="">
      <xdr:nvSpPr>
        <xdr:cNvPr id="21" name="TextBox 20">
          <a:extLst>
            <a:ext uri="{FF2B5EF4-FFF2-40B4-BE49-F238E27FC236}">
              <a16:creationId xmlns:a16="http://schemas.microsoft.com/office/drawing/2014/main" id="{C520A1D5-63BA-42CC-9137-22EABE5F4EB0}"/>
            </a:ext>
          </a:extLst>
        </xdr:cNvPr>
        <xdr:cNvSpPr txBox="1"/>
      </xdr:nvSpPr>
      <xdr:spPr>
        <a:xfrm>
          <a:off x="195262" y="2493168"/>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Food</a:t>
          </a:r>
        </a:p>
      </xdr:txBody>
    </xdr:sp>
    <xdr:clientData/>
  </xdr:twoCellAnchor>
  <xdr:twoCellAnchor>
    <xdr:from>
      <xdr:col>0</xdr:col>
      <xdr:colOff>192880</xdr:colOff>
      <xdr:row>21</xdr:row>
      <xdr:rowOff>2381</xdr:rowOff>
    </xdr:from>
    <xdr:to>
      <xdr:col>3</xdr:col>
      <xdr:colOff>121443</xdr:colOff>
      <xdr:row>24</xdr:row>
      <xdr:rowOff>73819</xdr:rowOff>
    </xdr:to>
    <xdr:sp macro="" textlink="">
      <xdr:nvSpPr>
        <xdr:cNvPr id="22" name="TextBox 21">
          <a:extLst>
            <a:ext uri="{FF2B5EF4-FFF2-40B4-BE49-F238E27FC236}">
              <a16:creationId xmlns:a16="http://schemas.microsoft.com/office/drawing/2014/main" id="{F5387653-05BD-403A-896E-D2928174D1A0}"/>
            </a:ext>
          </a:extLst>
        </xdr:cNvPr>
        <xdr:cNvSpPr txBox="1"/>
      </xdr:nvSpPr>
      <xdr:spPr>
        <a:xfrm>
          <a:off x="192880" y="4002881"/>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Travelling</a:t>
          </a:r>
        </a:p>
      </xdr:txBody>
    </xdr:sp>
    <xdr:clientData/>
  </xdr:twoCellAnchor>
  <xdr:twoCellAnchor>
    <xdr:from>
      <xdr:col>0</xdr:col>
      <xdr:colOff>178593</xdr:colOff>
      <xdr:row>24</xdr:row>
      <xdr:rowOff>154782</xdr:rowOff>
    </xdr:from>
    <xdr:to>
      <xdr:col>3</xdr:col>
      <xdr:colOff>107156</xdr:colOff>
      <xdr:row>28</xdr:row>
      <xdr:rowOff>35720</xdr:rowOff>
    </xdr:to>
    <xdr:sp macro="" textlink="">
      <xdr:nvSpPr>
        <xdr:cNvPr id="23" name="TextBox 22">
          <a:extLst>
            <a:ext uri="{FF2B5EF4-FFF2-40B4-BE49-F238E27FC236}">
              <a16:creationId xmlns:a16="http://schemas.microsoft.com/office/drawing/2014/main" id="{648893A4-B5C9-465A-9A19-DBE4E10D5A73}"/>
            </a:ext>
          </a:extLst>
        </xdr:cNvPr>
        <xdr:cNvSpPr txBox="1"/>
      </xdr:nvSpPr>
      <xdr:spPr>
        <a:xfrm>
          <a:off x="178593" y="4726782"/>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Utilities</a:t>
          </a:r>
        </a:p>
      </xdr:txBody>
    </xdr:sp>
    <xdr:clientData/>
  </xdr:twoCellAnchor>
  <xdr:twoCellAnchor>
    <xdr:from>
      <xdr:col>0</xdr:col>
      <xdr:colOff>188117</xdr:colOff>
      <xdr:row>16</xdr:row>
      <xdr:rowOff>188118</xdr:rowOff>
    </xdr:from>
    <xdr:to>
      <xdr:col>3</xdr:col>
      <xdr:colOff>116680</xdr:colOff>
      <xdr:row>20</xdr:row>
      <xdr:rowOff>69056</xdr:rowOff>
    </xdr:to>
    <xdr:sp macro="" textlink="">
      <xdr:nvSpPr>
        <xdr:cNvPr id="24" name="TextBox 23">
          <a:extLst>
            <a:ext uri="{FF2B5EF4-FFF2-40B4-BE49-F238E27FC236}">
              <a16:creationId xmlns:a16="http://schemas.microsoft.com/office/drawing/2014/main" id="{34AABC80-318C-4623-A366-A49A73427C81}"/>
            </a:ext>
          </a:extLst>
        </xdr:cNvPr>
        <xdr:cNvSpPr txBox="1"/>
      </xdr:nvSpPr>
      <xdr:spPr>
        <a:xfrm>
          <a:off x="188117" y="3236118"/>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Education</a:t>
          </a:r>
        </a:p>
      </xdr:txBody>
    </xdr:sp>
    <xdr:clientData/>
  </xdr:twoCellAnchor>
  <xdr:oneCellAnchor>
    <xdr:from>
      <xdr:col>3</xdr:col>
      <xdr:colOff>381000</xdr:colOff>
      <xdr:row>3</xdr:row>
      <xdr:rowOff>166687</xdr:rowOff>
    </xdr:from>
    <xdr:ext cx="184731" cy="264560"/>
    <xdr:sp macro="" textlink="">
      <xdr:nvSpPr>
        <xdr:cNvPr id="25" name="TextBox 24">
          <a:extLst>
            <a:ext uri="{FF2B5EF4-FFF2-40B4-BE49-F238E27FC236}">
              <a16:creationId xmlns:a16="http://schemas.microsoft.com/office/drawing/2014/main" id="{042505E0-B5E3-2FAF-E35B-13445A419EF2}"/>
            </a:ext>
          </a:extLst>
        </xdr:cNvPr>
        <xdr:cNvSpPr txBox="1"/>
      </xdr:nvSpPr>
      <xdr:spPr>
        <a:xfrm>
          <a:off x="2202656" y="7381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142874</xdr:colOff>
      <xdr:row>6</xdr:row>
      <xdr:rowOff>130969</xdr:rowOff>
    </xdr:from>
    <xdr:to>
      <xdr:col>3</xdr:col>
      <xdr:colOff>83343</xdr:colOff>
      <xdr:row>8</xdr:row>
      <xdr:rowOff>59531</xdr:rowOff>
    </xdr:to>
    <xdr:sp macro="" textlink="Pivots!E70">
      <xdr:nvSpPr>
        <xdr:cNvPr id="26" name="TextBox 25">
          <a:extLst>
            <a:ext uri="{FF2B5EF4-FFF2-40B4-BE49-F238E27FC236}">
              <a16:creationId xmlns:a16="http://schemas.microsoft.com/office/drawing/2014/main" id="{5178ABD5-F288-D3C5-3C59-17A02104A5AD}"/>
            </a:ext>
          </a:extLst>
        </xdr:cNvPr>
        <xdr:cNvSpPr txBox="1"/>
      </xdr:nvSpPr>
      <xdr:spPr>
        <a:xfrm>
          <a:off x="750093" y="1273969"/>
          <a:ext cx="1154906" cy="309562"/>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993D6B61-4195-4BC4-A61C-5A3E4FEEA912}" type="TxLink">
            <a:rPr lang="en-US" sz="1600" b="1" i="0" u="none" strike="noStrike">
              <a:solidFill>
                <a:schemeClr val="bg1"/>
              </a:solidFill>
              <a:latin typeface="Calibri"/>
              <a:cs typeface="Calibri"/>
            </a:rPr>
            <a:pPr algn="r"/>
            <a:t>Rs. 656,054</a:t>
          </a:fld>
          <a:endParaRPr lang="en-US" sz="1600" b="1">
            <a:solidFill>
              <a:schemeClr val="bg1"/>
            </a:solidFill>
          </a:endParaRPr>
        </a:p>
      </xdr:txBody>
    </xdr:sp>
    <xdr:clientData/>
  </xdr:twoCellAnchor>
  <xdr:twoCellAnchor>
    <xdr:from>
      <xdr:col>1</xdr:col>
      <xdr:colOff>130967</xdr:colOff>
      <xdr:row>10</xdr:row>
      <xdr:rowOff>119062</xdr:rowOff>
    </xdr:from>
    <xdr:to>
      <xdr:col>3</xdr:col>
      <xdr:colOff>71436</xdr:colOff>
      <xdr:row>12</xdr:row>
      <xdr:rowOff>47624</xdr:rowOff>
    </xdr:to>
    <xdr:sp macro="" textlink="Pivots!E71">
      <xdr:nvSpPr>
        <xdr:cNvPr id="27" name="TextBox 26">
          <a:extLst>
            <a:ext uri="{FF2B5EF4-FFF2-40B4-BE49-F238E27FC236}">
              <a16:creationId xmlns:a16="http://schemas.microsoft.com/office/drawing/2014/main" id="{C4D93060-1764-477A-8E83-1AFD2F860180}"/>
            </a:ext>
          </a:extLst>
        </xdr:cNvPr>
        <xdr:cNvSpPr txBox="1"/>
      </xdr:nvSpPr>
      <xdr:spPr>
        <a:xfrm>
          <a:off x="738186" y="2024062"/>
          <a:ext cx="1154906" cy="309562"/>
        </a:xfrm>
        <a:prstGeom prst="rect">
          <a:avLst/>
        </a:prstGeom>
        <a:solidFill>
          <a:schemeClr val="accent4">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E81EAB65-9B3A-47DC-B6D5-A029527FA53D}" type="TxLink">
            <a:rPr lang="en-US" sz="1600" b="1" i="0" u="none" strike="noStrike">
              <a:solidFill>
                <a:schemeClr val="bg1"/>
              </a:solidFill>
              <a:latin typeface="Calibri"/>
              <a:cs typeface="Calibri"/>
            </a:rPr>
            <a:pPr algn="r"/>
            <a:t>Rs. 311,550</a:t>
          </a:fld>
          <a:endParaRPr lang="en-US" sz="2400" b="1">
            <a:solidFill>
              <a:schemeClr val="bg1"/>
            </a:solidFill>
          </a:endParaRPr>
        </a:p>
      </xdr:txBody>
    </xdr:sp>
    <xdr:clientData/>
  </xdr:twoCellAnchor>
  <xdr:twoCellAnchor>
    <xdr:from>
      <xdr:col>1</xdr:col>
      <xdr:colOff>147637</xdr:colOff>
      <xdr:row>14</xdr:row>
      <xdr:rowOff>123824</xdr:rowOff>
    </xdr:from>
    <xdr:to>
      <xdr:col>3</xdr:col>
      <xdr:colOff>88106</xdr:colOff>
      <xdr:row>16</xdr:row>
      <xdr:rowOff>52386</xdr:rowOff>
    </xdr:to>
    <xdr:sp macro="" textlink="Pivots!E72">
      <xdr:nvSpPr>
        <xdr:cNvPr id="28" name="TextBox 27">
          <a:extLst>
            <a:ext uri="{FF2B5EF4-FFF2-40B4-BE49-F238E27FC236}">
              <a16:creationId xmlns:a16="http://schemas.microsoft.com/office/drawing/2014/main" id="{A0C51CCC-974E-4965-9728-A9E98FB87637}"/>
            </a:ext>
          </a:extLst>
        </xdr:cNvPr>
        <xdr:cNvSpPr txBox="1"/>
      </xdr:nvSpPr>
      <xdr:spPr>
        <a:xfrm>
          <a:off x="754856" y="2790824"/>
          <a:ext cx="1154906" cy="309562"/>
        </a:xfrm>
        <a:prstGeom prst="rect">
          <a:avLst/>
        </a:prstGeom>
        <a:solidFill>
          <a:schemeClr val="accent4">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66A76E6C-9D7D-4321-95C3-3B128FE64300}" type="TxLink">
            <a:rPr lang="en-US" sz="1600" b="1" i="0" u="none" strike="noStrike">
              <a:solidFill>
                <a:schemeClr val="bg1"/>
              </a:solidFill>
              <a:latin typeface="Calibri"/>
              <a:cs typeface="Calibri"/>
            </a:rPr>
            <a:pPr algn="r"/>
            <a:t>Rs. 427,844</a:t>
          </a:fld>
          <a:endParaRPr lang="en-US" sz="2400" b="1">
            <a:solidFill>
              <a:schemeClr val="bg1"/>
            </a:solidFill>
          </a:endParaRPr>
        </a:p>
      </xdr:txBody>
    </xdr:sp>
    <xdr:clientData/>
  </xdr:twoCellAnchor>
  <xdr:twoCellAnchor>
    <xdr:from>
      <xdr:col>1</xdr:col>
      <xdr:colOff>145255</xdr:colOff>
      <xdr:row>22</xdr:row>
      <xdr:rowOff>109537</xdr:rowOff>
    </xdr:from>
    <xdr:to>
      <xdr:col>3</xdr:col>
      <xdr:colOff>85724</xdr:colOff>
      <xdr:row>24</xdr:row>
      <xdr:rowOff>38099</xdr:rowOff>
    </xdr:to>
    <xdr:sp macro="" textlink="Pivots!E73">
      <xdr:nvSpPr>
        <xdr:cNvPr id="29" name="TextBox 28">
          <a:extLst>
            <a:ext uri="{FF2B5EF4-FFF2-40B4-BE49-F238E27FC236}">
              <a16:creationId xmlns:a16="http://schemas.microsoft.com/office/drawing/2014/main" id="{97419FA4-0968-43E9-8E2A-9A9971FCDB47}"/>
            </a:ext>
          </a:extLst>
        </xdr:cNvPr>
        <xdr:cNvSpPr txBox="1"/>
      </xdr:nvSpPr>
      <xdr:spPr>
        <a:xfrm>
          <a:off x="752474" y="4300537"/>
          <a:ext cx="1154906" cy="309562"/>
        </a:xfrm>
        <a:prstGeom prst="rect">
          <a:avLst/>
        </a:prstGeom>
        <a:solidFill>
          <a:schemeClr val="accent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CD92A751-4AA6-4236-BA48-E77C33B9530D}" type="TxLink">
            <a:rPr lang="en-US" sz="1600" b="1" i="0" u="none" strike="noStrike">
              <a:solidFill>
                <a:schemeClr val="bg1"/>
              </a:solidFill>
              <a:latin typeface="Calibri"/>
              <a:cs typeface="Calibri"/>
            </a:rPr>
            <a:pPr algn="r"/>
            <a:t>Rs. 149,247</a:t>
          </a:fld>
          <a:endParaRPr lang="en-US" sz="2400" b="1">
            <a:solidFill>
              <a:schemeClr val="bg1"/>
            </a:solidFill>
          </a:endParaRPr>
        </a:p>
      </xdr:txBody>
    </xdr:sp>
    <xdr:clientData/>
  </xdr:twoCellAnchor>
  <xdr:twoCellAnchor>
    <xdr:from>
      <xdr:col>1</xdr:col>
      <xdr:colOff>130967</xdr:colOff>
      <xdr:row>26</xdr:row>
      <xdr:rowOff>71439</xdr:rowOff>
    </xdr:from>
    <xdr:to>
      <xdr:col>3</xdr:col>
      <xdr:colOff>71436</xdr:colOff>
      <xdr:row>28</xdr:row>
      <xdr:rowOff>1</xdr:rowOff>
    </xdr:to>
    <xdr:sp macro="" textlink="Pivots!E74">
      <xdr:nvSpPr>
        <xdr:cNvPr id="30" name="TextBox 29">
          <a:extLst>
            <a:ext uri="{FF2B5EF4-FFF2-40B4-BE49-F238E27FC236}">
              <a16:creationId xmlns:a16="http://schemas.microsoft.com/office/drawing/2014/main" id="{5AD6005E-C388-4A28-8EEE-C06D3B97576E}"/>
            </a:ext>
          </a:extLst>
        </xdr:cNvPr>
        <xdr:cNvSpPr txBox="1"/>
      </xdr:nvSpPr>
      <xdr:spPr>
        <a:xfrm>
          <a:off x="738186" y="5024439"/>
          <a:ext cx="1154906" cy="309562"/>
        </a:xfrm>
        <a:prstGeom prst="rect">
          <a:avLst/>
        </a:prstGeom>
        <a:solidFill>
          <a:schemeClr val="accent5">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020A52BF-D0A9-4D0B-844E-90C2FA8B0E30}" type="TxLink">
            <a:rPr lang="en-US" sz="1600" b="1" i="0" u="none" strike="noStrike">
              <a:solidFill>
                <a:schemeClr val="bg1"/>
              </a:solidFill>
              <a:latin typeface="Calibri"/>
              <a:cs typeface="Calibri"/>
            </a:rPr>
            <a:pPr algn="r"/>
            <a:t>Rs. 93,829</a:t>
          </a:fld>
          <a:endParaRPr lang="en-US" sz="2400" b="1">
            <a:solidFill>
              <a:schemeClr val="bg1"/>
            </a:solidFill>
          </a:endParaRPr>
        </a:p>
      </xdr:txBody>
    </xdr:sp>
    <xdr:clientData/>
  </xdr:twoCellAnchor>
  <xdr:twoCellAnchor>
    <xdr:from>
      <xdr:col>1</xdr:col>
      <xdr:colOff>128585</xdr:colOff>
      <xdr:row>18</xdr:row>
      <xdr:rowOff>92868</xdr:rowOff>
    </xdr:from>
    <xdr:to>
      <xdr:col>3</xdr:col>
      <xdr:colOff>69054</xdr:colOff>
      <xdr:row>20</xdr:row>
      <xdr:rowOff>21430</xdr:rowOff>
    </xdr:to>
    <xdr:sp macro="" textlink="Pivots!E75">
      <xdr:nvSpPr>
        <xdr:cNvPr id="31" name="TextBox 30">
          <a:extLst>
            <a:ext uri="{FF2B5EF4-FFF2-40B4-BE49-F238E27FC236}">
              <a16:creationId xmlns:a16="http://schemas.microsoft.com/office/drawing/2014/main" id="{8424F038-0166-4706-8EE4-E116DCD06528}"/>
            </a:ext>
          </a:extLst>
        </xdr:cNvPr>
        <xdr:cNvSpPr txBox="1"/>
      </xdr:nvSpPr>
      <xdr:spPr>
        <a:xfrm>
          <a:off x="735804" y="3521868"/>
          <a:ext cx="1154906" cy="309562"/>
        </a:xfrm>
        <a:prstGeom prst="rect">
          <a:avLst/>
        </a:prstGeom>
        <a:solidFill>
          <a:schemeClr val="bg1">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AD64B21D-E120-4311-9B6F-DA2AA6EBAEBF}" type="TxLink">
            <a:rPr lang="en-US" sz="1600" b="1" i="0" u="none" strike="noStrike">
              <a:solidFill>
                <a:schemeClr val="bg1"/>
              </a:solidFill>
              <a:latin typeface="Calibri"/>
              <a:cs typeface="Calibri"/>
            </a:rPr>
            <a:pPr algn="r"/>
            <a:t>Rs. 159,058</a:t>
          </a:fld>
          <a:endParaRPr lang="en-US" sz="4000" b="1">
            <a:solidFill>
              <a:schemeClr val="bg1"/>
            </a:solidFill>
          </a:endParaRPr>
        </a:p>
      </xdr:txBody>
    </xdr:sp>
    <xdr:clientData/>
  </xdr:twoCellAnchor>
  <xdr:twoCellAnchor>
    <xdr:from>
      <xdr:col>21</xdr:col>
      <xdr:colOff>59532</xdr:colOff>
      <xdr:row>4</xdr:row>
      <xdr:rowOff>59530</xdr:rowOff>
    </xdr:from>
    <xdr:to>
      <xdr:col>29</xdr:col>
      <xdr:colOff>83343</xdr:colOff>
      <xdr:row>13</xdr:row>
      <xdr:rowOff>0</xdr:rowOff>
    </xdr:to>
    <xdr:graphicFrame macro="">
      <xdr:nvGraphicFramePr>
        <xdr:cNvPr id="13" name="Chart 12">
          <a:extLst>
            <a:ext uri="{FF2B5EF4-FFF2-40B4-BE49-F238E27FC236}">
              <a16:creationId xmlns:a16="http://schemas.microsoft.com/office/drawing/2014/main" id="{565675C2-F41A-4ACA-B649-AAAA10A63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392905</xdr:colOff>
      <xdr:row>81</xdr:row>
      <xdr:rowOff>178595</xdr:rowOff>
    </xdr:from>
    <xdr:to>
      <xdr:col>29</xdr:col>
      <xdr:colOff>130968</xdr:colOff>
      <xdr:row>101</xdr:row>
      <xdr:rowOff>59531</xdr:rowOff>
    </xdr:to>
    <xdr:graphicFrame macro="">
      <xdr:nvGraphicFramePr>
        <xdr:cNvPr id="19" name="Chart 18">
          <a:extLst>
            <a:ext uri="{FF2B5EF4-FFF2-40B4-BE49-F238E27FC236}">
              <a16:creationId xmlns:a16="http://schemas.microsoft.com/office/drawing/2014/main" id="{9B114601-61DD-4D98-8DD7-E3256EB00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23.984210416667" backgroundQuery="1" createdVersion="8" refreshedVersion="8" minRefreshableVersion="3" recordCount="0" supportSubquery="1" supportAdvancedDrill="1" xr:uid="{B40BCAE4-9BEC-41A5-8EFE-C5417DABB70A}">
  <cacheSource type="external" connectionId="1"/>
  <cacheFields count="3">
    <cacheField name="[Measures].[Sum of Expense]" caption="Sum of Expense" numFmtId="0" hierarchy="12" level="32767"/>
    <cacheField name="[Table1].[Expense Category].[Expense Category]" caption="Expense Category" numFmtId="0" hierarchy="2" level="1">
      <sharedItems count="23">
        <s v="Beauty/salon"/>
        <s v="Books/Stationary"/>
        <s v="Class Fees"/>
        <s v="⁠Clothings"/>
        <s v="Electricity"/>
        <s v="Entertainment"/>
        <s v="Exam Fees"/>
        <s v="Gas"/>
        <s v="Groceries/Snacks"/>
        <s v="Interest"/>
        <s v="Internet/Phones"/>
        <s v="Licence/Insurance"/>
        <s v="Loan/Lease"/>
        <s v="Lunch/Dinner"/>
        <s v="Medical"/>
        <s v="Popi/Tabi🐕"/>
        <s v="School Fees"/>
        <s v="Servent"/>
        <s v="Sundry"/>
        <s v="Transport/Petrol"/>
        <s v="Tyre/Battery"/>
        <s v="Vehicle Repair"/>
        <s v="Water"/>
      </sharedItems>
    </cacheField>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2"/>
      </fieldsUsage>
    </cacheHierarchy>
    <cacheHierarchy uniqueName="[Table1].[Expense Category]" caption="Expense Category" attribute="1" defaultMemberUniqueName="[Table1].[Expense Category].[All]" allUniqueName="[Table1].[Expense Category].[All]" dimensionUniqueName="[Table1]" displayFolder="" count="2" memberValueDatatype="130" unbalanced="0">
      <fieldsUsage count="2">
        <fieldUsage x="-1"/>
        <fieldUsage x="1"/>
      </fieldsUsage>
    </cacheHierarchy>
    <cacheHierarchy uniqueName="[Table1].[Income Category]" caption="Income Category" attribute="1" defaultMemberUniqueName="[Table1].[Income Category].[All]" allUniqueName="[Table1].[Income Category].[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23.984211689814" backgroundQuery="1" createdVersion="8" refreshedVersion="8" minRefreshableVersion="3" recordCount="0" supportSubquery="1" supportAdvancedDrill="1" xr:uid="{F33E38DD-D116-4113-AB02-944050E4759F}">
  <cacheSource type="external" connectionId="1"/>
  <cacheFields count="5">
    <cacheField name="[Table1].[Expense Category].[Expense Category]" caption="Expense Category" numFmtId="0" hierarchy="2" level="1">
      <sharedItems count="23">
        <s v="Beauty/salon"/>
        <s v="Books/Stationary"/>
        <s v="Class Fees"/>
        <s v="⁠Clothings"/>
        <s v="Electricity"/>
        <s v="Entertainment"/>
        <s v="Exam Fees"/>
        <s v="Gas"/>
        <s v="Groceries/Snacks"/>
        <s v="Interest"/>
        <s v="Internet/Phones"/>
        <s v="Licence/Insurance"/>
        <s v="Loan/Lease"/>
        <s v="Lunch/Dinner"/>
        <s v="Medical"/>
        <s v="Popi/Tabi🐕"/>
        <s v="School Fees"/>
        <s v="Servent"/>
        <s v="Sundry"/>
        <s v="Transport/Petrol"/>
        <s v="Tyre/Battery"/>
        <s v="Vehicle Repair"/>
        <s v="Water"/>
      </sharedItems>
    </cacheField>
    <cacheField name="[Measures].[Sum of Expense]" caption="Sum of Expense" numFmtId="0" hierarchy="12" level="32767"/>
    <cacheField name="[Table1].[Date].[Date]" caption="Date" numFmtId="0" level="1">
      <sharedItems containsSemiMixedTypes="0" containsNonDate="0" containsDate="1" containsString="0" minDate="2025-01-01T00:00:00" maxDate="2025-02-09T00:00:00" count="23">
        <d v="2025-01-01T00:00:00"/>
        <d v="2025-01-03T00:00:00"/>
        <d v="2025-01-04T00:00:00"/>
        <d v="2025-01-06T00:00:00"/>
        <d v="2025-01-08T00:00:00"/>
        <d v="2025-01-10T00:00:00"/>
        <d v="2025-01-11T00:00:00"/>
        <d v="2025-01-12T00:00:00"/>
        <d v="2025-01-13T00:00:00"/>
        <d v="2025-01-17T00:00:00"/>
        <d v="2025-01-20T00:00:00"/>
        <d v="2025-01-24T00:00:00"/>
        <d v="2025-01-25T00:00:00"/>
        <d v="2025-01-26T00:00:00"/>
        <d v="2025-01-27T00:00:00"/>
        <d v="2025-01-30T00:00:00"/>
        <d v="2025-01-31T00:00:00"/>
        <d v="2025-02-02T00:00:00"/>
        <d v="2025-02-03T00:00:00"/>
        <d v="2025-02-04T00:00:00"/>
        <d v="2025-02-05T00:00:00"/>
        <d v="2025-02-07T00:00:00"/>
        <d v="2025-02-08T00:00:00"/>
      </sharedItems>
    </cacheField>
    <cacheField name="[Table1].[Date (Month)].[Date (Month)]" caption="Date (Month)" numFmtId="0" hierarchy="7" level="1">
      <sharedItems count="6">
        <s v="Jan"/>
        <s v="Feb"/>
        <s v="Mar"/>
        <s v="Apr"/>
        <s v="May"/>
        <s v="Jun"/>
      </sharedItems>
    </cacheField>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4"/>
      </fieldsUsage>
    </cacheHierarchy>
    <cacheHierarchy uniqueName="[Table1].[Expense Category]" caption="Expense Category" attribute="1" defaultMemberUniqueName="[Table1].[Expense Category].[All]" allUniqueName="[Table1].[Expense Category].[All]" dimensionUniqueName="[Table1]" displayFolder="" count="2" memberValueDatatype="130" unbalanced="0">
      <fieldsUsage count="2">
        <fieldUsage x="-1"/>
        <fieldUsage x="0"/>
      </fieldsUsage>
    </cacheHierarchy>
    <cacheHierarchy uniqueName="[Table1].[Income Category]" caption="Income Category" attribute="1" defaultMemberUniqueName="[Table1].[Income Category].[All]" allUniqueName="[Table1].[Income Category].[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23.984217129633" backgroundQuery="1" createdVersion="8" refreshedVersion="8" minRefreshableVersion="3" recordCount="0" supportSubquery="1" supportAdvancedDrill="1" xr:uid="{3A5A3295-5342-47FB-91F7-5D7521182305}">
  <cacheSource type="external" connectionId="1"/>
  <cacheFields count="3">
    <cacheField name="[Table1].[Income Category].[Income Category]" caption="Income Category" numFmtId="0" hierarchy="3" level="1">
      <sharedItems count="4">
        <s v="Bookkeeping"/>
        <s v="Other"/>
        <s v="Salary"/>
        <s v="Vehicle Rent"/>
      </sharedItems>
    </cacheField>
    <cacheField name="[Measures].[Sum of Income]" caption="Sum of Income" numFmtId="0" hierarchy="11" level="32767"/>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2"/>
      </fieldsUsage>
    </cacheHierarchy>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23.984222453706" backgroundQuery="1" createdVersion="8" refreshedVersion="8" minRefreshableVersion="3" recordCount="0" supportSubquery="1" supportAdvancedDrill="1" xr:uid="{23C5DB24-3458-4BAB-902A-C483603F13B3}">
  <cacheSource type="external" connectionId="1"/>
  <cacheFields count="3">
    <cacheField name="[Table1].[Family Member Name].[Family Member Name]" caption="Family Member Name" numFmtId="0" hierarchy="1" level="1">
      <sharedItems count="4">
        <s v="Beta Je"/>
        <s v="Mahesh"/>
        <s v="Other"/>
        <s v="Shalini"/>
      </sharedItems>
    </cacheField>
    <cacheField name="[Measures].[Sum of Income]" caption="Sum of Income" numFmtId="0" hierarchy="11" level="32767"/>
    <cacheField name="[Table1].[Income Category].[Income Category]" caption="Income Category" numFmtId="0" hierarchy="3"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0"/>
      </fieldsUsage>
    </cacheHierarchy>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2" memberValueDatatype="130" unbalanced="0">
      <fieldsUsage count="2">
        <fieldUsage x="-1"/>
        <fieldUsage x="2"/>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23.984223726853" backgroundQuery="1" createdVersion="8" refreshedVersion="8" minRefreshableVersion="3" recordCount="0" supportSubquery="1" supportAdvancedDrill="1" xr:uid="{B0C0E1F6-92A5-44DF-96D2-8ADCB09A3F51}">
  <cacheSource type="external" connectionId="1"/>
  <cacheFields count="5">
    <cacheField name="[Table1].[Income Category].[Income Category]" caption="Income Category" numFmtId="0" hierarchy="3" level="1">
      <sharedItems count="4">
        <s v="Bookkeeping"/>
        <s v="Other"/>
        <s v="Salary"/>
        <s v="Vehicle Rent"/>
      </sharedItems>
    </cacheField>
    <cacheField name="[Measures].[Sum of Income]" caption="Sum of Income" numFmtId="0" hierarchy="11" level="32767"/>
    <cacheField name="[Table1].[Date].[Date]" caption="Date" numFmtId="0" level="1">
      <sharedItems containsSemiMixedTypes="0" containsNonDate="0" containsDate="1" containsString="0" minDate="2025-01-09T00:00:00" maxDate="2025-02-08T00:00:00" count="7">
        <d v="2025-01-09T00:00:00"/>
        <d v="2025-01-10T00:00:00"/>
        <d v="2025-01-20T00:00:00"/>
        <d v="2025-01-24T00:00:00"/>
        <d v="2025-01-27T00:00:00"/>
        <d v="2025-01-28T00:00:00"/>
        <d v="2025-02-07T00:00:00"/>
      </sharedItems>
    </cacheField>
    <cacheField name="[Table1].[Date (Month)].[Date (Month)]" caption="Date (Month)" numFmtId="0" hierarchy="7" level="1">
      <sharedItems count="6">
        <s v="Jan"/>
        <s v="Feb"/>
        <s v="Mar"/>
        <s v="Apr"/>
        <s v="May"/>
        <s v="Jun"/>
      </sharedItems>
    </cacheField>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4"/>
      </fieldsUsage>
    </cacheHierarchy>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23.984229398149" backgroundQuery="1" createdVersion="8" refreshedVersion="8" minRefreshableVersion="3" recordCount="0" supportSubquery="1" supportAdvancedDrill="1" xr:uid="{A9576D9C-F1B9-4947-847C-7D4F0B0E58A8}">
  <cacheSource type="external" connectionId="1"/>
  <cacheFields count="4">
    <cacheField name="[Table1].[Date (Month)].[Date (Month)]" caption="Date (Month)" numFmtId="0" hierarchy="7" level="1">
      <sharedItems count="6">
        <s v="Jan"/>
        <s v="Feb"/>
        <s v="Mar"/>
        <s v="Apr"/>
        <s v="May"/>
        <s v="Jun"/>
      </sharedItems>
    </cacheField>
    <cacheField name="[Measures].[Sum of Expense]" caption="Sum of Expense" numFmtId="0" hierarchy="12" level="32767"/>
    <cacheField name="[Measures].[Sum of Income]" caption="Sum of Income" numFmtId="0" hierarchy="11" level="32767"/>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3"/>
      </fieldsUsage>
    </cacheHierarchy>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23.984235300923" backgroundQuery="1" createdVersion="8" refreshedVersion="8" minRefreshableVersion="3" recordCount="0" supportSubquery="1" supportAdvancedDrill="1" xr:uid="{7F270176-D430-4E55-ACEE-95FCAF56053E}">
  <cacheSource type="external" connectionId="1"/>
  <cacheFields count="4">
    <cacheField name="[Table1].[Date (Month)].[Date (Month)]" caption="Date (Month)" numFmtId="0" hierarchy="7" level="1">
      <sharedItems count="6">
        <s v="Jan"/>
        <s v="Feb"/>
        <s v="Mar"/>
        <s v="Apr"/>
        <s v="May"/>
        <s v="Jun"/>
      </sharedItems>
    </cacheField>
    <cacheField name="[Measures].[Sum of Income]" caption="Sum of Income" numFmtId="0" hierarchy="11" level="32767"/>
    <cacheField name="[Table1].[Income Category].[Income Category]" caption="Income Category" numFmtId="0" hierarchy="3" level="1">
      <sharedItems count="4">
        <s v="Bookkeeping"/>
        <s v="Other"/>
        <s v="Salary"/>
        <s v="Vehicle Rent"/>
      </sharedItems>
    </cacheField>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3"/>
      </fieldsUsage>
    </cacheHierarchy>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2" memberValueDatatype="130" unbalanced="0">
      <fieldsUsage count="2">
        <fieldUsage x="-1"/>
        <fieldUsage x="2"/>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23.984236805554" backgroundQuery="1" createdVersion="8" refreshedVersion="8" minRefreshableVersion="3" recordCount="0" supportSubquery="1" supportAdvancedDrill="1" xr:uid="{FDEE3FE0-C108-49BF-803B-7F024CE378C3}">
  <cacheSource type="external" connectionId="1"/>
  <cacheFields count="5">
    <cacheField name="[Table1].[Expense Category].[Expense Category]" caption="Expense Category" numFmtId="0" hierarchy="2" level="1">
      <sharedItems count="23">
        <s v="Beauty/salon"/>
        <s v="Books/Stationary"/>
        <s v="Class Fees"/>
        <s v="⁠Clothings"/>
        <s v="Electricity"/>
        <s v="Entertainment"/>
        <s v="Exam Fees"/>
        <s v="Gas"/>
        <s v="Groceries/Snacks"/>
        <s v="Interest"/>
        <s v="Internet/Phones"/>
        <s v="Licence/Insurance"/>
        <s v="Loan/Lease"/>
        <s v="Lunch/Dinner"/>
        <s v="Medical"/>
        <s v="Popi/Tabi🐕"/>
        <s v="School Fees"/>
        <s v="Servent"/>
        <s v="Sundry"/>
        <s v="Transport/Petrol"/>
        <s v="Tyre/Battery"/>
        <s v="Vehicle Repair"/>
        <s v="Water"/>
      </sharedItems>
    </cacheField>
    <cacheField name="[Measures].[Sum of Expense]" caption="Sum of Expense" numFmtId="0" hierarchy="12" level="32767"/>
    <cacheField name="[Table1].[Date].[Date]" caption="Date" numFmtId="0" level="1">
      <sharedItems containsSemiMixedTypes="0" containsNonDate="0" containsDate="1" containsString="0" minDate="2025-01-01T00:00:00" maxDate="2025-02-01T00:00:00" count="17">
        <d v="2025-01-01T00:00:00"/>
        <d v="2025-01-03T00:00:00"/>
        <d v="2025-01-04T00:00:00"/>
        <d v="2025-01-06T00:00:00"/>
        <d v="2025-01-08T00:00:00"/>
        <d v="2025-01-10T00:00:00"/>
        <d v="2025-01-11T00:00:00"/>
        <d v="2025-01-12T00:00:00"/>
        <d v="2025-01-13T00:00:00"/>
        <d v="2025-01-17T00:00:00"/>
        <d v="2025-01-20T00:00:00"/>
        <d v="2025-01-24T00:00:00"/>
        <d v="2025-01-25T00:00:00"/>
        <d v="2025-01-26T00:00:00"/>
        <d v="2025-01-27T00:00:00"/>
        <d v="2025-01-30T00:00:00"/>
        <d v="2025-01-31T00:00:00"/>
      </sharedItems>
    </cacheField>
    <cacheField name="[Table1].[Date (Month)].[Date (Month)]" caption="Date (Month)" numFmtId="0" hierarchy="7" level="1">
      <sharedItems count="6">
        <s v="Jan"/>
        <s v="Feb"/>
        <s v="Mar"/>
        <s v="Apr"/>
        <s v="May"/>
        <s v="Jun"/>
      </sharedItems>
    </cacheField>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4"/>
      </fieldsUsage>
    </cacheHierarchy>
    <cacheHierarchy uniqueName="[Table1].[Expense Category]" caption="Expense Category" attribute="1" defaultMemberUniqueName="[Table1].[Expense Category].[All]" allUniqueName="[Table1].[Expense Category].[All]" dimensionUniqueName="[Table1]" displayFolder="" count="2" memberValueDatatype="130" unbalanced="0">
      <fieldsUsage count="2">
        <fieldUsage x="-1"/>
        <fieldUsage x="0"/>
      </fieldsUsage>
    </cacheHierarchy>
    <cacheHierarchy uniqueName="[Table1].[Income Category]" caption="Income Category" attribute="1" defaultMemberUniqueName="[Table1].[Income Category].[All]" allUniqueName="[Table1].[Income Category].[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23.984244444444" createdVersion="8" refreshedVersion="8" minRefreshableVersion="3" recordCount="455" xr:uid="{7E5FEE93-6202-459F-B3C8-1361463B8B51}">
  <cacheSource type="worksheet">
    <worksheetSource name="Table1"/>
  </cacheSource>
  <cacheFields count="9">
    <cacheField name="Date" numFmtId="14">
      <sharedItems containsSemiMixedTypes="0" containsNonDate="0" containsDate="1" containsString="0" minDate="2025-01-01T00:00:00" maxDate="2025-06-15T00:00:00" count="124">
        <d v="2025-01-01T00:00:00"/>
        <d v="2025-01-03T00:00:00"/>
        <d v="2025-01-04T00:00:00"/>
        <d v="2025-01-06T00:00:00"/>
        <d v="2025-01-08T00:00:00"/>
        <d v="2025-01-09T00:00:00"/>
        <d v="2025-01-10T00:00:00"/>
        <d v="2025-01-11T00:00:00"/>
        <d v="2025-01-12T00:00:00"/>
        <d v="2025-01-13T00:00:00"/>
        <d v="2025-01-17T00:00:00"/>
        <d v="2025-01-20T00:00:00"/>
        <d v="2025-01-24T00:00:00"/>
        <d v="2025-01-25T00:00:00"/>
        <d v="2025-01-26T00:00:00"/>
        <d v="2025-01-27T00:00:00"/>
        <d v="2025-01-28T00:00:00"/>
        <d v="2025-01-30T00:00:00"/>
        <d v="2025-01-31T00:00:00"/>
        <d v="2025-02-02T00:00:00"/>
        <d v="2025-02-03T00:00:00"/>
        <d v="2025-02-04T00:00:00"/>
        <d v="2025-02-05T00:00:00"/>
        <d v="2025-02-07T00:00:00"/>
        <d v="2025-02-08T00:00:00"/>
        <d v="2025-02-09T00:00:00"/>
        <d v="2025-02-10T00:00:00"/>
        <d v="2025-02-11T00:00:00"/>
        <d v="2025-02-12T00:00:00"/>
        <d v="2025-02-13T00:00:00"/>
        <d v="2025-02-14T00:00:00"/>
        <d v="2025-02-15T00:00:00"/>
        <d v="2025-02-17T00:00:00"/>
        <d v="2025-02-18T00:00:00"/>
        <d v="2025-02-20T00:00:00"/>
        <d v="2025-02-24T00:00:00"/>
        <d v="2025-02-26T00:00:00"/>
        <d v="2025-02-27T00:00:00"/>
        <d v="2025-02-28T00:00:00"/>
        <d v="2025-03-01T00:00:00"/>
        <d v="2025-03-02T00:00:00"/>
        <d v="2025-03-03T00:00:00"/>
        <d v="2025-03-05T00:00:00"/>
        <d v="2025-03-07T00:00:00"/>
        <d v="2025-03-08T00:00:00"/>
        <d v="2025-03-09T00:00:00"/>
        <d v="2025-03-10T00:00:00"/>
        <d v="2025-03-11T00:00:00"/>
        <d v="2025-03-12T00:00:00"/>
        <d v="2025-03-14T00:00:00"/>
        <d v="2025-03-15T00:00:00"/>
        <d v="2025-03-16T00:00:00"/>
        <d v="2025-03-17T00:00:00"/>
        <d v="2025-03-18T00:00:00"/>
        <d v="2025-03-19T00:00:00"/>
        <d v="2025-03-21T00:00:00"/>
        <d v="2025-03-22T00:00:00"/>
        <d v="2025-03-23T00:00:00"/>
        <d v="2025-03-24T00:00:00"/>
        <d v="2025-03-25T00:00:00"/>
        <d v="2025-03-26T00:00:00"/>
        <d v="2025-03-27T00:00:00"/>
        <d v="2025-03-28T00:00:00"/>
        <d v="2025-03-29T00:00:00"/>
        <d v="2025-03-30T00:00:00"/>
        <d v="2025-03-31T00:00:00"/>
        <d v="2025-04-01T00:00:00"/>
        <d v="2025-04-02T00:00:00"/>
        <d v="2025-04-04T00:00:00"/>
        <d v="2025-04-05T00:00:00"/>
        <d v="2025-04-06T00:00:00"/>
        <d v="2025-04-08T00:00:00"/>
        <d v="2025-04-10T00:00:00"/>
        <d v="2025-04-11T00:00:00"/>
        <d v="2025-04-12T00:00:00"/>
        <d v="2025-04-13T00:00:00"/>
        <d v="2025-04-16T00:00:00"/>
        <d v="2025-04-14T00:00:00"/>
        <d v="2025-04-18T00:00:00"/>
        <d v="2025-04-19T00:00:00"/>
        <d v="2025-04-20T00:00:00"/>
        <d v="2025-04-21T00:00:00"/>
        <d v="2025-04-25T00:00:00"/>
        <d v="2025-04-26T00:00:00"/>
        <d v="2025-04-27T00:00:00"/>
        <d v="2025-04-28T00:00:00"/>
        <d v="2025-04-30T00:00:00"/>
        <d v="2025-05-01T00:00:00"/>
        <d v="2025-05-02T00:00:00"/>
        <d v="2025-05-03T00:00:00"/>
        <d v="2025-05-05T00:00:00"/>
        <d v="2025-05-06T00:00:00"/>
        <d v="2025-05-08T00:00:00"/>
        <d v="2025-05-09T00:00:00"/>
        <d v="2025-05-10T00:00:00"/>
        <d v="2025-05-12T00:00:00"/>
        <d v="2025-05-13T00:00:00"/>
        <d v="2025-05-14T00:00:00"/>
        <d v="2025-05-15T00:00:00"/>
        <d v="2025-05-16T00:00:00"/>
        <d v="2025-05-17T00:00:00"/>
        <d v="2025-05-19T00:00:00"/>
        <d v="2025-05-21T00:00:00"/>
        <d v="2025-05-22T00:00:00"/>
        <d v="2025-05-23T00:00:00"/>
        <d v="2025-05-24T00:00:00"/>
        <d v="2025-05-26T00:00:00"/>
        <d v="2025-05-27T00:00:00"/>
        <d v="2025-05-28T00:00:00"/>
        <d v="2025-05-29T00:00:00"/>
        <d v="2025-05-30T00:00:00"/>
        <d v="2025-05-31T00:00:00"/>
        <d v="2025-06-02T00:00:00"/>
        <d v="2025-06-03T00:00:00"/>
        <d v="2025-06-04T00:00:00"/>
        <d v="2025-05-04T00:00:00"/>
        <d v="2025-06-06T00:00:00"/>
        <d v="2025-06-07T00:00:00"/>
        <d v="2025-06-08T00:00:00"/>
        <d v="2025-06-09T00:00:00"/>
        <d v="2025-06-10T00:00:00"/>
        <d v="2025-06-11T00:00:00"/>
        <d v="2025-06-13T00:00:00"/>
        <d v="2025-06-14T00:00:00"/>
      </sharedItems>
      <fieldGroup par="8"/>
    </cacheField>
    <cacheField name="Family Member Name" numFmtId="0">
      <sharedItems containsBlank="1" count="7">
        <s v="Mahesh"/>
        <s v="Shalini"/>
        <s v="Beta Je"/>
        <s v="Siluni"/>
        <s v="Ralini"/>
        <s v="Other"/>
        <m/>
      </sharedItems>
    </cacheField>
    <cacheField name="Expense Category" numFmtId="0">
      <sharedItems containsBlank="1" count="24">
        <s v="Lunch/Dinner"/>
        <s v="Sundry"/>
        <s v="Transport/Petrol"/>
        <m/>
        <s v="Servent"/>
        <s v="Groceries/Snacks"/>
        <s v="Books/Stationary"/>
        <s v="Entertainment"/>
        <s v="Medical"/>
        <s v="Interest"/>
        <s v="Gas"/>
        <s v="Loan/Lease"/>
        <s v="Internet/Phones"/>
        <s v="Licence/Insurance"/>
        <s v="Water "/>
        <s v="Class Fees"/>
        <s v="Electricity "/>
        <s v="Vehicle Repair"/>
        <s v="⁠Clothings "/>
        <s v="Popi/Tabi🐕 "/>
        <s v="Tyre/Battery"/>
        <s v="Beauty/salon"/>
        <s v="Exam Fees"/>
        <s v="School Fees"/>
      </sharedItems>
    </cacheField>
    <cacheField name="Income Category" numFmtId="0">
      <sharedItems containsBlank="1"/>
    </cacheField>
    <cacheField name="Description" numFmtId="0">
      <sharedItems containsBlank="1"/>
    </cacheField>
    <cacheField name="Expense" numFmtId="164">
      <sharedItems containsString="0" containsBlank="1" containsNumber="1" minValue="125" maxValue="60000"/>
    </cacheField>
    <cacheField name="Income" numFmtId="164">
      <sharedItems containsString="0" containsBlank="1" containsNumber="1" containsInteger="1" minValue="5000" maxValue="183000"/>
    </cacheField>
    <cacheField name="Days (Date)" numFmtId="0" databaseField="0">
      <fieldGroup base="0">
        <rangePr groupBy="days" startDate="2025-01-01T00:00:00" endDate="2025-06-15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6/2025"/>
        </groupItems>
      </fieldGroup>
    </cacheField>
    <cacheField name="Months (Date)" numFmtId="0" databaseField="0">
      <fieldGroup base="0">
        <rangePr groupBy="months" startDate="2025-01-01T00:00:00" endDate="2025-06-15T00:00:00"/>
        <groupItems count="14">
          <s v="&lt;01/01/2025"/>
          <s v="Jan"/>
          <s v="Feb"/>
          <s v="Mar"/>
          <s v="Apr"/>
          <s v="May"/>
          <s v="Jun"/>
          <s v="Jul"/>
          <s v="Aug"/>
          <s v="Sep"/>
          <s v="Oct"/>
          <s v="Nov"/>
          <s v="Dec"/>
          <s v="&gt;15/06/2025"/>
        </groupItems>
      </fieldGroup>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23.984199768522" backgroundQuery="1" createdVersion="3" refreshedVersion="8" minRefreshableVersion="3" recordCount="0" supportSubquery="1" supportAdvancedDrill="1" xr:uid="{E0FAE46A-2822-45A1-9819-0CEC4B67C4B7}">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Date]" caption="Date" attribute="1" time="1" defaultMemberUniqueName="[Table1].[Date].[All]" allUniqueName="[Table1].[Date].[All]" dimensionUniqueName="[Table1]" displayFolder="" count="0"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cacheHierarchy uniqueName="[Table1].[Expense Category]" caption="Expense Category" attribute="1" defaultMemberUniqueName="[Table1].[Expense Category].[All]" allUniqueName="[Table1].[Expense Category].[All]" dimensionUniqueName="[Table1]" displayFolder="" count="2" memberValueDatatype="130" unbalanced="0"/>
    <cacheHierarchy uniqueName="[Table1].[Income Category]" caption="Income Category" attribute="1" defaultMemberUniqueName="[Table1].[Income Category].[All]" allUniqueName="[Table1].[Income Category].[All]" dimensionUniqueName="[Table1]" displayFolder="" count="2"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02317312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23.984204050925" backgroundQuery="1" createdVersion="3" refreshedVersion="8" minRefreshableVersion="3" recordCount="0" supportSubquery="1" supportAdvancedDrill="1" xr:uid="{4FDF4794-42B3-4017-A4AF-7CA088970196}">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0" memberValueDatatype="130" unbalanced="0"/>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pivotCacheId="77364344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5">
  <r>
    <x v="0"/>
    <x v="0"/>
    <x v="0"/>
    <m/>
    <s v="Weelky Food &amp; Travel - Mahesh"/>
    <n v="1100"/>
    <m/>
  </r>
  <r>
    <x v="0"/>
    <x v="1"/>
    <x v="1"/>
    <m/>
    <s v="Shalini Expenses"/>
    <n v="2500"/>
    <m/>
  </r>
  <r>
    <x v="0"/>
    <x v="0"/>
    <x v="2"/>
    <m/>
    <s v="Weekly Travelling - Shalini"/>
    <n v="600"/>
    <m/>
  </r>
  <r>
    <x v="0"/>
    <x v="0"/>
    <x v="2"/>
    <m/>
    <s v="Weelky Food &amp; Travel - Mahesh"/>
    <n v="400"/>
    <m/>
  </r>
  <r>
    <x v="0"/>
    <x v="2"/>
    <x v="3"/>
    <s v="Vehicle Rent"/>
    <s v="Alto Rent - Advance"/>
    <m/>
    <n v="60000"/>
  </r>
  <r>
    <x v="1"/>
    <x v="0"/>
    <x v="4"/>
    <m/>
    <s v="Anty"/>
    <n v="4250"/>
    <m/>
  </r>
  <r>
    <x v="1"/>
    <x v="0"/>
    <x v="2"/>
    <m/>
    <s v="Train Season"/>
    <n v="1000"/>
    <m/>
  </r>
  <r>
    <x v="2"/>
    <x v="0"/>
    <x v="5"/>
    <m/>
    <s v="Weekly Home Foods"/>
    <n v="6000"/>
    <m/>
  </r>
  <r>
    <x v="2"/>
    <x v="0"/>
    <x v="2"/>
    <m/>
    <s v="Weekly Petrol"/>
    <n v="3000"/>
    <m/>
  </r>
  <r>
    <x v="3"/>
    <x v="3"/>
    <x v="6"/>
    <m/>
    <s v="Books for School"/>
    <n v="2000"/>
    <m/>
  </r>
  <r>
    <x v="3"/>
    <x v="0"/>
    <x v="0"/>
    <m/>
    <s v="Weelky Food &amp; Travel - Mahesh"/>
    <n v="1100"/>
    <m/>
  </r>
  <r>
    <x v="3"/>
    <x v="1"/>
    <x v="2"/>
    <m/>
    <s v="Weekly Travelling - Shalini"/>
    <n v="2100"/>
    <m/>
  </r>
  <r>
    <x v="3"/>
    <x v="0"/>
    <x v="2"/>
    <m/>
    <s v="Weelky Food &amp; Travel - Mahesh"/>
    <n v="400"/>
    <m/>
  </r>
  <r>
    <x v="3"/>
    <x v="0"/>
    <x v="2"/>
    <m/>
    <s v="School Threewil Uncle"/>
    <n v="1500"/>
    <m/>
  </r>
  <r>
    <x v="4"/>
    <x v="4"/>
    <x v="7"/>
    <m/>
    <s v="Kids Trip Fees"/>
    <n v="1500"/>
    <m/>
  </r>
  <r>
    <x v="4"/>
    <x v="3"/>
    <x v="7"/>
    <m/>
    <s v="Kids Trip Fees"/>
    <n v="2000"/>
    <m/>
  </r>
  <r>
    <x v="4"/>
    <x v="0"/>
    <x v="5"/>
    <m/>
    <s v="Extra Home Expenses"/>
    <n v="4000"/>
    <m/>
  </r>
  <r>
    <x v="4"/>
    <x v="5"/>
    <x v="8"/>
    <m/>
    <s v="Pipi-Tubi Medicine"/>
    <n v="1000"/>
    <m/>
  </r>
  <r>
    <x v="4"/>
    <x v="0"/>
    <x v="2"/>
    <m/>
    <s v="Extra Petrol"/>
    <n v="3000"/>
    <m/>
  </r>
  <r>
    <x v="5"/>
    <x v="0"/>
    <x v="3"/>
    <s v="Bookkeeping"/>
    <s v="Salary - Mahesh - JL"/>
    <m/>
    <n v="5000"/>
  </r>
  <r>
    <x v="6"/>
    <x v="0"/>
    <x v="5"/>
    <m/>
    <s v="Weekly Home Foods"/>
    <n v="20500"/>
    <m/>
  </r>
  <r>
    <x v="6"/>
    <x v="0"/>
    <x v="9"/>
    <m/>
    <s v="Interest Payment - Ammi S"/>
    <n v="11000"/>
    <m/>
  </r>
  <r>
    <x v="6"/>
    <x v="0"/>
    <x v="4"/>
    <m/>
    <s v="Anty"/>
    <n v="4000"/>
    <m/>
  </r>
  <r>
    <x v="6"/>
    <x v="0"/>
    <x v="3"/>
    <s v="Salary"/>
    <s v="Salary - Mahesh"/>
    <m/>
    <n v="183000"/>
  </r>
  <r>
    <x v="7"/>
    <x v="0"/>
    <x v="10"/>
    <m/>
    <s v="Gas"/>
    <n v="3700"/>
    <m/>
  </r>
  <r>
    <x v="7"/>
    <x v="0"/>
    <x v="5"/>
    <m/>
    <s v="Extra Home Expenses"/>
    <n v="8900"/>
    <m/>
  </r>
  <r>
    <x v="7"/>
    <x v="0"/>
    <x v="11"/>
    <m/>
    <s v="Leasing - Vezel (Arrears)"/>
    <n v="35000"/>
    <m/>
  </r>
  <r>
    <x v="7"/>
    <x v="0"/>
    <x v="11"/>
    <m/>
    <s v="Leasing - Vezel"/>
    <n v="40000"/>
    <m/>
  </r>
  <r>
    <x v="7"/>
    <x v="1"/>
    <x v="2"/>
    <m/>
    <s v="Weekly Travelling - Shalini"/>
    <n v="2100"/>
    <m/>
  </r>
  <r>
    <x v="8"/>
    <x v="0"/>
    <x v="9"/>
    <m/>
    <s v="LB Gold Loan Interest"/>
    <n v="12269.47"/>
    <m/>
  </r>
  <r>
    <x v="8"/>
    <x v="1"/>
    <x v="12"/>
    <m/>
    <s v="Utility Bills"/>
    <n v="1564"/>
    <m/>
  </r>
  <r>
    <x v="8"/>
    <x v="0"/>
    <x v="12"/>
    <m/>
    <s v="Utility Bills"/>
    <n v="1472"/>
    <m/>
  </r>
  <r>
    <x v="8"/>
    <x v="0"/>
    <x v="12"/>
    <m/>
    <s v="Utility Bills"/>
    <n v="2685"/>
    <m/>
  </r>
  <r>
    <x v="8"/>
    <x v="0"/>
    <x v="12"/>
    <m/>
    <s v="Utility Bills"/>
    <n v="734.48"/>
    <m/>
  </r>
  <r>
    <x v="8"/>
    <x v="0"/>
    <x v="12"/>
    <m/>
    <s v="Utility Bills"/>
    <n v="1479.9"/>
    <m/>
  </r>
  <r>
    <x v="8"/>
    <x v="2"/>
    <x v="13"/>
    <m/>
    <s v="KWID Insurance"/>
    <n v="28172"/>
    <m/>
  </r>
  <r>
    <x v="8"/>
    <x v="0"/>
    <x v="14"/>
    <m/>
    <s v="Utility Bills"/>
    <n v="3971.98"/>
    <m/>
  </r>
  <r>
    <x v="9"/>
    <x v="0"/>
    <x v="5"/>
    <m/>
    <s v="Ellawala Visit - Groceries"/>
    <n v="3500"/>
    <m/>
  </r>
  <r>
    <x v="9"/>
    <x v="0"/>
    <x v="0"/>
    <m/>
    <s v="Weelky Food &amp; Travel - Mahesh"/>
    <n v="1100"/>
    <m/>
  </r>
  <r>
    <x v="9"/>
    <x v="0"/>
    <x v="2"/>
    <m/>
    <s v="Ellawala Visit - Petrol"/>
    <n v="3000"/>
    <m/>
  </r>
  <r>
    <x v="9"/>
    <x v="0"/>
    <x v="2"/>
    <m/>
    <s v="Weelky Food &amp; Travel - Mahesh"/>
    <n v="400"/>
    <m/>
  </r>
  <r>
    <x v="9"/>
    <x v="0"/>
    <x v="2"/>
    <m/>
    <s v="School Threewil"/>
    <n v="1500"/>
    <m/>
  </r>
  <r>
    <x v="10"/>
    <x v="0"/>
    <x v="4"/>
    <m/>
    <s v="Anty"/>
    <n v="4000"/>
    <m/>
  </r>
  <r>
    <x v="11"/>
    <x v="0"/>
    <x v="5"/>
    <m/>
    <s v="Weekly Home Foods"/>
    <n v="500"/>
    <m/>
  </r>
  <r>
    <x v="11"/>
    <x v="0"/>
    <x v="0"/>
    <m/>
    <s v="Weelky Food &amp; Travel - Mahesh"/>
    <n v="1100"/>
    <m/>
  </r>
  <r>
    <x v="11"/>
    <x v="1"/>
    <x v="2"/>
    <m/>
    <s v="Weekly Travelling - Shalini"/>
    <n v="2100"/>
    <m/>
  </r>
  <r>
    <x v="11"/>
    <x v="0"/>
    <x v="2"/>
    <m/>
    <s v="Weelky Food &amp; Travel - Mahesh"/>
    <n v="400"/>
    <m/>
  </r>
  <r>
    <x v="11"/>
    <x v="0"/>
    <x v="2"/>
    <m/>
    <s v="School Threewil"/>
    <n v="1500"/>
    <m/>
  </r>
  <r>
    <x v="11"/>
    <x v="2"/>
    <x v="3"/>
    <s v="Vehicle Rent"/>
    <s v="Alto Rent - Arrears January"/>
    <m/>
    <n v="5000"/>
  </r>
  <r>
    <x v="11"/>
    <x v="2"/>
    <x v="3"/>
    <s v="Vehicle Rent"/>
    <s v="Alto Rent - Extra February"/>
    <m/>
    <n v="5000"/>
  </r>
  <r>
    <x v="12"/>
    <x v="0"/>
    <x v="4"/>
    <m/>
    <s v="Anty"/>
    <n v="4000"/>
    <m/>
  </r>
  <r>
    <x v="12"/>
    <x v="2"/>
    <x v="3"/>
    <s v="Vehicle Rent"/>
    <s v="KWID Rent"/>
    <m/>
    <n v="7000"/>
  </r>
  <r>
    <x v="13"/>
    <x v="0"/>
    <x v="5"/>
    <m/>
    <s v="Weekly Home Foods"/>
    <n v="6000"/>
    <m/>
  </r>
  <r>
    <x v="13"/>
    <x v="0"/>
    <x v="2"/>
    <m/>
    <s v="Weekly Petrol"/>
    <n v="3000"/>
    <m/>
  </r>
  <r>
    <x v="14"/>
    <x v="4"/>
    <x v="15"/>
    <m/>
    <s v="Colombo Kids Club - Art Competition"/>
    <n v="1500"/>
    <m/>
  </r>
  <r>
    <x v="14"/>
    <x v="0"/>
    <x v="0"/>
    <m/>
    <s v="Lunch - Aroma - Engagement Anneversary"/>
    <n v="3000"/>
    <m/>
  </r>
  <r>
    <x v="14"/>
    <x v="0"/>
    <x v="5"/>
    <m/>
    <s v="Foods - Art Event Visit"/>
    <n v="1500"/>
    <m/>
  </r>
  <r>
    <x v="14"/>
    <x v="0"/>
    <x v="1"/>
    <m/>
    <s v="Canava Pro"/>
    <n v="600"/>
    <m/>
  </r>
  <r>
    <x v="15"/>
    <x v="0"/>
    <x v="16"/>
    <m/>
    <s v="Utility Bills - Electricity"/>
    <n v="5010"/>
    <m/>
  </r>
  <r>
    <x v="15"/>
    <x v="0"/>
    <x v="5"/>
    <m/>
    <s v="Weekly Home Foods"/>
    <n v="6500"/>
    <m/>
  </r>
  <r>
    <x v="15"/>
    <x v="0"/>
    <x v="11"/>
    <m/>
    <s v="Loan - SMIB 1"/>
    <n v="20000"/>
    <m/>
  </r>
  <r>
    <x v="15"/>
    <x v="0"/>
    <x v="0"/>
    <m/>
    <s v="Weelky Food &amp; Travel - Mahesh"/>
    <n v="1100"/>
    <m/>
  </r>
  <r>
    <x v="15"/>
    <x v="1"/>
    <x v="2"/>
    <m/>
    <s v="Weekly Travelling - Shalini"/>
    <n v="1100"/>
    <m/>
  </r>
  <r>
    <x v="15"/>
    <x v="0"/>
    <x v="2"/>
    <m/>
    <s v="Weelky Food &amp; Travel - Mahesh"/>
    <n v="400"/>
    <m/>
  </r>
  <r>
    <x v="15"/>
    <x v="0"/>
    <x v="2"/>
    <m/>
    <s v="School Threewil"/>
    <n v="2700"/>
    <m/>
  </r>
  <r>
    <x v="15"/>
    <x v="1"/>
    <x v="3"/>
    <s v="Salary"/>
    <s v="Salary - Shalini"/>
    <m/>
    <n v="97828"/>
  </r>
  <r>
    <x v="15"/>
    <x v="1"/>
    <x v="11"/>
    <m/>
    <s v="Loan - SMIB - Shalini"/>
    <n v="23270"/>
    <m/>
  </r>
  <r>
    <x v="15"/>
    <x v="1"/>
    <x v="15"/>
    <m/>
    <s v="IIHS Fees"/>
    <n v="24558"/>
    <m/>
  </r>
  <r>
    <x v="16"/>
    <x v="2"/>
    <x v="3"/>
    <s v="Vehicle Rent"/>
    <s v="KWID Rent"/>
    <m/>
    <n v="57500"/>
  </r>
  <r>
    <x v="17"/>
    <x v="3"/>
    <x v="6"/>
    <m/>
    <s v="Stationary"/>
    <n v="600"/>
    <m/>
  </r>
  <r>
    <x v="17"/>
    <x v="0"/>
    <x v="5"/>
    <m/>
    <s v="Extra Home Expenses"/>
    <n v="6721"/>
    <m/>
  </r>
  <r>
    <x v="17"/>
    <x v="2"/>
    <x v="9"/>
    <m/>
    <s v="Alto Interset"/>
    <n v="3500"/>
    <m/>
  </r>
  <r>
    <x v="17"/>
    <x v="2"/>
    <x v="11"/>
    <m/>
    <s v="Leasing - Alto"/>
    <n v="43500"/>
    <m/>
  </r>
  <r>
    <x v="18"/>
    <x v="0"/>
    <x v="4"/>
    <m/>
    <s v="Anty"/>
    <n v="4000"/>
    <m/>
  </r>
  <r>
    <x v="19"/>
    <x v="3"/>
    <x v="15"/>
    <m/>
    <s v="Colombo Kids Club - IQ Test"/>
    <n v="500"/>
    <m/>
  </r>
  <r>
    <x v="19"/>
    <x v="4"/>
    <x v="15"/>
    <m/>
    <s v="Colombo Kids Club - IQ Test"/>
    <n v="500"/>
    <m/>
  </r>
  <r>
    <x v="19"/>
    <x v="0"/>
    <x v="5"/>
    <m/>
    <s v="Weekly Home Foods"/>
    <n v="5500"/>
    <m/>
  </r>
  <r>
    <x v="19"/>
    <x v="0"/>
    <x v="2"/>
    <m/>
    <s v="Weekly Petrol"/>
    <n v="3000"/>
    <m/>
  </r>
  <r>
    <x v="20"/>
    <x v="0"/>
    <x v="0"/>
    <m/>
    <s v="Weelky Food - Mahesh"/>
    <n v="1100"/>
    <m/>
  </r>
  <r>
    <x v="20"/>
    <x v="1"/>
    <x v="2"/>
    <m/>
    <s v="Weekly Travelling - Shalini"/>
    <n v="2100"/>
    <m/>
  </r>
  <r>
    <x v="20"/>
    <x v="0"/>
    <x v="2"/>
    <m/>
    <s v="Weelky Travel - Mahesh"/>
    <n v="400"/>
    <m/>
  </r>
  <r>
    <x v="21"/>
    <x v="0"/>
    <x v="8"/>
    <m/>
    <s v="Medical - Mahesh"/>
    <n v="5000"/>
    <m/>
  </r>
  <r>
    <x v="21"/>
    <x v="2"/>
    <x v="3"/>
    <s v="Vehicle Rent"/>
    <s v="Alto Rent (Service Deduction)"/>
    <m/>
    <n v="10000"/>
  </r>
  <r>
    <x v="21"/>
    <x v="2"/>
    <x v="17"/>
    <m/>
    <s v="Alto Service Fee - Part 1"/>
    <n v="10000"/>
    <m/>
  </r>
  <r>
    <x v="22"/>
    <x v="0"/>
    <x v="8"/>
    <m/>
    <s v="Medical - Mahesh"/>
    <n v="650"/>
    <m/>
  </r>
  <r>
    <x v="23"/>
    <x v="3"/>
    <x v="6"/>
    <m/>
    <s v="Stationary - Siluni"/>
    <n v="550"/>
    <m/>
  </r>
  <r>
    <x v="23"/>
    <x v="0"/>
    <x v="0"/>
    <m/>
    <s v="Dinner"/>
    <n v="1000"/>
    <m/>
  </r>
  <r>
    <x v="23"/>
    <x v="0"/>
    <x v="8"/>
    <m/>
    <s v="Medical - Mahesh"/>
    <n v="500"/>
    <m/>
  </r>
  <r>
    <x v="23"/>
    <x v="0"/>
    <x v="4"/>
    <m/>
    <s v="Anty"/>
    <n v="1000"/>
    <m/>
  </r>
  <r>
    <x v="23"/>
    <x v="1"/>
    <x v="2"/>
    <m/>
    <s v="Ammi - S - Travelling"/>
    <n v="1000"/>
    <m/>
  </r>
  <r>
    <x v="23"/>
    <x v="0"/>
    <x v="2"/>
    <m/>
    <s v="School Threewil"/>
    <n v="1200"/>
    <m/>
  </r>
  <r>
    <x v="23"/>
    <x v="2"/>
    <x v="3"/>
    <s v="Vehicle Rent"/>
    <s v="Alto Rent"/>
    <m/>
    <n v="50000"/>
  </r>
  <r>
    <x v="24"/>
    <x v="0"/>
    <x v="5"/>
    <m/>
    <s v="Weekly Home Foods"/>
    <n v="11514"/>
    <m/>
  </r>
  <r>
    <x v="24"/>
    <x v="0"/>
    <x v="2"/>
    <m/>
    <s v="Weekly Petrol"/>
    <n v="3000"/>
    <m/>
  </r>
  <r>
    <x v="24"/>
    <x v="2"/>
    <x v="17"/>
    <m/>
    <s v="KWID AC Repair"/>
    <n v="17000"/>
    <m/>
  </r>
  <r>
    <x v="25"/>
    <x v="0"/>
    <x v="5"/>
    <m/>
    <s v="Sunday afternoon Foods"/>
    <n v="750"/>
    <m/>
  </r>
  <r>
    <x v="25"/>
    <x v="0"/>
    <x v="5"/>
    <m/>
    <s v="Extra Home Expenses"/>
    <n v="1600"/>
    <m/>
  </r>
  <r>
    <x v="26"/>
    <x v="3"/>
    <x v="6"/>
    <m/>
    <s v="School Bags"/>
    <n v="1900"/>
    <m/>
  </r>
  <r>
    <x v="26"/>
    <x v="4"/>
    <x v="6"/>
    <m/>
    <s v="School Bags"/>
    <n v="1850"/>
    <m/>
  </r>
  <r>
    <x v="26"/>
    <x v="1"/>
    <x v="15"/>
    <m/>
    <s v="Shalini - Degree Fee"/>
    <n v="35000"/>
    <m/>
  </r>
  <r>
    <x v="26"/>
    <x v="0"/>
    <x v="18"/>
    <m/>
    <s v="Shoes-M"/>
    <n v="1000"/>
    <m/>
  </r>
  <r>
    <x v="26"/>
    <x v="0"/>
    <x v="16"/>
    <m/>
    <s v="Utility Bills - Electricity"/>
    <n v="4626"/>
    <m/>
  </r>
  <r>
    <x v="26"/>
    <x v="0"/>
    <x v="9"/>
    <m/>
    <s v="Interest Payment - Ammi S"/>
    <n v="10500"/>
    <m/>
  </r>
  <r>
    <x v="26"/>
    <x v="0"/>
    <x v="12"/>
    <m/>
    <s v="Utility Bills - Telephone and Wifi"/>
    <n v="6459.17"/>
    <m/>
  </r>
  <r>
    <x v="26"/>
    <x v="0"/>
    <x v="0"/>
    <m/>
    <s v="Dinner"/>
    <n v="700"/>
    <m/>
  </r>
  <r>
    <x v="26"/>
    <x v="0"/>
    <x v="5"/>
    <m/>
    <s v="Snacks"/>
    <n v="600"/>
    <m/>
  </r>
  <r>
    <x v="26"/>
    <x v="1"/>
    <x v="1"/>
    <m/>
    <s v="Donation-S"/>
    <n v="1800"/>
    <m/>
  </r>
  <r>
    <x v="26"/>
    <x v="1"/>
    <x v="1"/>
    <m/>
    <s v="Table Lamp"/>
    <n v="1700"/>
    <m/>
  </r>
  <r>
    <x v="26"/>
    <x v="5"/>
    <x v="2"/>
    <m/>
    <s v="Ammi - S - Travelling"/>
    <n v="2000"/>
    <m/>
  </r>
  <r>
    <x v="26"/>
    <x v="0"/>
    <x v="14"/>
    <m/>
    <s v="Utility Bills - Water"/>
    <n v="4000"/>
    <m/>
  </r>
  <r>
    <x v="26"/>
    <x v="0"/>
    <x v="3"/>
    <s v="Salary"/>
    <s v="Salary - Mahesh"/>
    <m/>
    <n v="183000"/>
  </r>
  <r>
    <x v="27"/>
    <x v="2"/>
    <x v="17"/>
    <m/>
    <s v="Kwid - 3 no's Engine Mounts"/>
    <n v="22000"/>
    <m/>
  </r>
  <r>
    <x v="28"/>
    <x v="0"/>
    <x v="5"/>
    <m/>
    <s v="Groceries"/>
    <n v="700"/>
    <m/>
  </r>
  <r>
    <x v="28"/>
    <x v="2"/>
    <x v="17"/>
    <m/>
    <s v="Kwid - A/C Compressor"/>
    <n v="48000"/>
    <m/>
  </r>
  <r>
    <x v="28"/>
    <x v="2"/>
    <x v="17"/>
    <m/>
    <s v="Kwid - Gear Box Oring"/>
    <n v="1200"/>
    <m/>
  </r>
  <r>
    <x v="28"/>
    <x v="2"/>
    <x v="17"/>
    <m/>
    <s v="Kwid - A/C Gas Filling"/>
    <n v="10500"/>
    <m/>
  </r>
  <r>
    <x v="28"/>
    <x v="2"/>
    <x v="17"/>
    <m/>
    <s v="Kwid - Seram"/>
    <n v="6000"/>
    <m/>
  </r>
  <r>
    <x v="29"/>
    <x v="3"/>
    <x v="6"/>
    <m/>
    <s v="Stationary - Arts"/>
    <n v="125"/>
    <m/>
  </r>
  <r>
    <x v="29"/>
    <x v="0"/>
    <x v="0"/>
    <m/>
    <s v="Weelky Food - Mahesh"/>
    <n v="720"/>
    <m/>
  </r>
  <r>
    <x v="29"/>
    <x v="1"/>
    <x v="2"/>
    <m/>
    <s v="Weekly Travelling - Shalini"/>
    <n v="1000"/>
    <m/>
  </r>
  <r>
    <x v="29"/>
    <x v="0"/>
    <x v="2"/>
    <m/>
    <s v="Weelky Travel - Mahesh"/>
    <n v="300"/>
    <m/>
  </r>
  <r>
    <x v="30"/>
    <x v="0"/>
    <x v="4"/>
    <m/>
    <s v="Anty"/>
    <n v="2000"/>
    <m/>
  </r>
  <r>
    <x v="31"/>
    <x v="0"/>
    <x v="5"/>
    <m/>
    <s v="Weekly Home Foods"/>
    <n v="5600"/>
    <m/>
  </r>
  <r>
    <x v="31"/>
    <x v="0"/>
    <x v="8"/>
    <m/>
    <s v="Medicine - Mahesh"/>
    <n v="350"/>
    <m/>
  </r>
  <r>
    <x v="31"/>
    <x v="0"/>
    <x v="2"/>
    <m/>
    <s v="Weekly Petrol"/>
    <n v="2000"/>
    <m/>
  </r>
  <r>
    <x v="32"/>
    <x v="0"/>
    <x v="0"/>
    <m/>
    <s v="Weelky Food - Mahesh"/>
    <n v="1000"/>
    <m/>
  </r>
  <r>
    <x v="32"/>
    <x v="1"/>
    <x v="2"/>
    <m/>
    <s v="Weekly Travelling - Shalini"/>
    <n v="2100"/>
    <m/>
  </r>
  <r>
    <x v="32"/>
    <x v="0"/>
    <x v="2"/>
    <m/>
    <s v="Weelky Travel - Mahesh"/>
    <n v="720"/>
    <m/>
  </r>
  <r>
    <x v="33"/>
    <x v="2"/>
    <x v="17"/>
    <m/>
    <s v="KWID AC Full Service"/>
    <n v="16500"/>
    <m/>
  </r>
  <r>
    <x v="33"/>
    <x v="2"/>
    <x v="3"/>
    <s v="Vehicle Rent"/>
    <s v="KWID Rent - Advance"/>
    <m/>
    <n v="16500"/>
  </r>
  <r>
    <x v="34"/>
    <x v="3"/>
    <x v="6"/>
    <m/>
    <s v="Stationery - Siluni"/>
    <n v="575"/>
    <m/>
  </r>
  <r>
    <x v="34"/>
    <x v="0"/>
    <x v="5"/>
    <m/>
    <s v="Weekly Home Foods"/>
    <n v="8121"/>
    <m/>
  </r>
  <r>
    <x v="35"/>
    <x v="0"/>
    <x v="3"/>
    <s v="Salary"/>
    <s v="Salary Advance - Mahesh"/>
    <m/>
    <n v="35000"/>
  </r>
  <r>
    <x v="35"/>
    <x v="0"/>
    <x v="0"/>
    <m/>
    <s v="Dinner"/>
    <n v="1060"/>
    <m/>
  </r>
  <r>
    <x v="35"/>
    <x v="0"/>
    <x v="5"/>
    <m/>
    <s v="Groceries"/>
    <n v="1220"/>
    <m/>
  </r>
  <r>
    <x v="35"/>
    <x v="0"/>
    <x v="2"/>
    <m/>
    <s v="School Threewil - Balance"/>
    <n v="2700"/>
    <m/>
  </r>
  <r>
    <x v="35"/>
    <x v="1"/>
    <x v="2"/>
    <m/>
    <s v="Weekly Travelling - Shalini"/>
    <n v="1485"/>
    <m/>
  </r>
  <r>
    <x v="35"/>
    <x v="0"/>
    <x v="0"/>
    <m/>
    <s v="Weelky Food - Mahesh"/>
    <n v="800"/>
    <m/>
  </r>
  <r>
    <x v="35"/>
    <x v="0"/>
    <x v="2"/>
    <m/>
    <s v="Weelky Travel - Mahesh"/>
    <n v="700"/>
    <m/>
  </r>
  <r>
    <x v="36"/>
    <x v="0"/>
    <x v="5"/>
    <m/>
    <s v="Groceries"/>
    <n v="1265"/>
    <m/>
  </r>
  <r>
    <x v="36"/>
    <x v="3"/>
    <x v="6"/>
    <m/>
    <s v="Art Competition - Canvas &amp; Oil Pastal"/>
    <n v="970"/>
    <m/>
  </r>
  <r>
    <x v="36"/>
    <x v="4"/>
    <x v="6"/>
    <m/>
    <s v="Art Competition - Canvas &amp; Oil Pastal"/>
    <n v="970"/>
    <m/>
  </r>
  <r>
    <x v="37"/>
    <x v="1"/>
    <x v="3"/>
    <s v="Salary"/>
    <s v="Salary - Shalini"/>
    <m/>
    <n v="101226"/>
  </r>
  <r>
    <x v="37"/>
    <x v="1"/>
    <x v="11"/>
    <m/>
    <s v="Loan - SMIB - Shalini"/>
    <n v="23270"/>
    <m/>
  </r>
  <r>
    <x v="37"/>
    <x v="1"/>
    <x v="1"/>
    <m/>
    <s v="Expenses"/>
    <n v="6558"/>
    <m/>
  </r>
  <r>
    <x v="37"/>
    <x v="1"/>
    <x v="15"/>
    <m/>
    <s v="IIHS Fees"/>
    <n v="15000"/>
    <m/>
  </r>
  <r>
    <x v="37"/>
    <x v="1"/>
    <x v="15"/>
    <m/>
    <s v="Class Fees - Kamal"/>
    <n v="3000"/>
    <m/>
  </r>
  <r>
    <x v="37"/>
    <x v="0"/>
    <x v="2"/>
    <m/>
    <s v="Weekly Petrol"/>
    <n v="2000"/>
    <m/>
  </r>
  <r>
    <x v="37"/>
    <x v="5"/>
    <x v="19"/>
    <m/>
    <s v="Tabi Medicine"/>
    <n v="1450"/>
    <m/>
  </r>
  <r>
    <x v="37"/>
    <x v="0"/>
    <x v="4"/>
    <m/>
    <s v="Anty"/>
    <n v="4000"/>
    <m/>
  </r>
  <r>
    <x v="37"/>
    <x v="0"/>
    <x v="4"/>
    <m/>
    <s v="Anty - Balance"/>
    <n v="9000"/>
    <m/>
  </r>
  <r>
    <x v="37"/>
    <x v="0"/>
    <x v="5"/>
    <m/>
    <s v="Groceries"/>
    <n v="580"/>
    <m/>
  </r>
  <r>
    <x v="38"/>
    <x v="2"/>
    <x v="3"/>
    <s v="Vehicle Rent"/>
    <s v="KWID Rent - Advance"/>
    <m/>
    <n v="48500"/>
  </r>
  <r>
    <x v="38"/>
    <x v="2"/>
    <x v="20"/>
    <m/>
    <s v="Kwid - 2 Tyres"/>
    <n v="27700"/>
    <m/>
  </r>
  <r>
    <x v="38"/>
    <x v="2"/>
    <x v="11"/>
    <m/>
    <s v="Leasing - Alto"/>
    <n v="48000"/>
    <m/>
  </r>
  <r>
    <x v="39"/>
    <x v="0"/>
    <x v="0"/>
    <m/>
    <s v="Bread, Parata"/>
    <n v="320"/>
    <m/>
  </r>
  <r>
    <x v="40"/>
    <x v="0"/>
    <x v="5"/>
    <m/>
    <s v="Groceries"/>
    <n v="9800"/>
    <m/>
  </r>
  <r>
    <x v="40"/>
    <x v="1"/>
    <x v="21"/>
    <m/>
    <s v="Face wash and deodrent"/>
    <n v="1050"/>
    <m/>
  </r>
  <r>
    <x v="41"/>
    <x v="0"/>
    <x v="2"/>
    <m/>
    <s v="Train Season"/>
    <n v="1000"/>
    <m/>
  </r>
  <r>
    <x v="41"/>
    <x v="1"/>
    <x v="2"/>
    <m/>
    <s v="Weekly Travelling - Shalini"/>
    <n v="500"/>
    <m/>
  </r>
  <r>
    <x v="41"/>
    <x v="0"/>
    <x v="0"/>
    <m/>
    <s v="Weelky Food - Mahesh"/>
    <n v="900"/>
    <m/>
  </r>
  <r>
    <x v="41"/>
    <x v="0"/>
    <x v="2"/>
    <m/>
    <s v="Weekly Travelling - Mahesh"/>
    <n v="300"/>
    <m/>
  </r>
  <r>
    <x v="41"/>
    <x v="0"/>
    <x v="2"/>
    <m/>
    <s v="School Threewil- Arrears"/>
    <n v="1500"/>
    <m/>
  </r>
  <r>
    <x v="42"/>
    <x v="3"/>
    <x v="6"/>
    <m/>
    <s v="Stationary"/>
    <n v="145"/>
    <m/>
  </r>
  <r>
    <x v="43"/>
    <x v="5"/>
    <x v="4"/>
    <m/>
    <s v="Anty- Arrears"/>
    <n v="800"/>
    <m/>
  </r>
  <r>
    <x v="43"/>
    <x v="5"/>
    <x v="4"/>
    <m/>
    <s v="Anty"/>
    <n v="1800"/>
    <m/>
  </r>
  <r>
    <x v="43"/>
    <x v="0"/>
    <x v="2"/>
    <m/>
    <s v="School Threewil"/>
    <n v="600"/>
    <m/>
  </r>
  <r>
    <x v="43"/>
    <x v="0"/>
    <x v="10"/>
    <m/>
    <s v="Gas"/>
    <n v="695"/>
    <m/>
  </r>
  <r>
    <x v="44"/>
    <x v="0"/>
    <x v="2"/>
    <m/>
    <s v="Petrol"/>
    <n v="1000"/>
    <m/>
  </r>
  <r>
    <x v="44"/>
    <x v="0"/>
    <x v="5"/>
    <m/>
    <s v="Extra Groceries"/>
    <n v="3635"/>
    <m/>
  </r>
  <r>
    <x v="45"/>
    <x v="0"/>
    <x v="5"/>
    <m/>
    <s v="Snacks"/>
    <n v="200"/>
    <m/>
  </r>
  <r>
    <x v="45"/>
    <x v="2"/>
    <x v="17"/>
    <m/>
    <s v="Alro Service"/>
    <n v="12000"/>
    <m/>
  </r>
  <r>
    <x v="46"/>
    <x v="0"/>
    <x v="3"/>
    <s v="Salary"/>
    <s v="Salary - Mahesh"/>
    <m/>
    <n v="183000"/>
  </r>
  <r>
    <x v="46"/>
    <x v="0"/>
    <x v="5"/>
    <m/>
    <s v="Weekly Home Foods"/>
    <n v="16211"/>
    <m/>
  </r>
  <r>
    <x v="46"/>
    <x v="0"/>
    <x v="2"/>
    <m/>
    <s v="Petrol"/>
    <n v="2000"/>
    <m/>
  </r>
  <r>
    <x v="46"/>
    <x v="0"/>
    <x v="9"/>
    <m/>
    <s v="Interest - Ammi S"/>
    <n v="10500"/>
    <m/>
  </r>
  <r>
    <x v="46"/>
    <x v="0"/>
    <x v="12"/>
    <m/>
    <s v="Router"/>
    <n v="2685"/>
    <m/>
  </r>
  <r>
    <x v="46"/>
    <x v="0"/>
    <x v="14"/>
    <m/>
    <s v="Water"/>
    <n v="3878.48"/>
    <m/>
  </r>
  <r>
    <x v="46"/>
    <x v="0"/>
    <x v="16"/>
    <m/>
    <s v="CEB"/>
    <n v="4963.34"/>
    <m/>
  </r>
  <r>
    <x v="46"/>
    <x v="0"/>
    <x v="12"/>
    <m/>
    <s v="TV"/>
    <n v="850"/>
    <m/>
  </r>
  <r>
    <x v="46"/>
    <x v="0"/>
    <x v="4"/>
    <m/>
    <s v="Anty- Arrears"/>
    <n v="2200"/>
    <m/>
  </r>
  <r>
    <x v="46"/>
    <x v="0"/>
    <x v="2"/>
    <m/>
    <s v="School Threewil- Arrears"/>
    <n v="900"/>
    <m/>
  </r>
  <r>
    <x v="46"/>
    <x v="1"/>
    <x v="2"/>
    <m/>
    <s v="Weekly Travelling - Shalini"/>
    <n v="1500"/>
    <m/>
  </r>
  <r>
    <x v="46"/>
    <x v="0"/>
    <x v="0"/>
    <m/>
    <s v="Weelky Food - Mahesh"/>
    <n v="900"/>
    <m/>
  </r>
  <r>
    <x v="46"/>
    <x v="0"/>
    <x v="2"/>
    <m/>
    <s v="Weekly Travelling - Mahesh"/>
    <n v="800"/>
    <m/>
  </r>
  <r>
    <x v="47"/>
    <x v="0"/>
    <x v="1"/>
    <m/>
    <m/>
    <n v="25000"/>
    <m/>
  </r>
  <r>
    <x v="47"/>
    <x v="1"/>
    <x v="12"/>
    <m/>
    <s v="Airtel Bill - S"/>
    <n v="1707"/>
    <m/>
  </r>
  <r>
    <x v="47"/>
    <x v="0"/>
    <x v="12"/>
    <m/>
    <s v="Airtel Bill - M"/>
    <n v="1398"/>
    <m/>
  </r>
  <r>
    <x v="48"/>
    <x v="0"/>
    <x v="5"/>
    <m/>
    <s v="Ellawala Visit"/>
    <n v="2740"/>
    <m/>
  </r>
  <r>
    <x v="48"/>
    <x v="0"/>
    <x v="2"/>
    <m/>
    <s v="Petrol"/>
    <n v="2000"/>
    <m/>
  </r>
  <r>
    <x v="48"/>
    <x v="0"/>
    <x v="1"/>
    <m/>
    <s v="Donation"/>
    <n v="1000"/>
    <m/>
  </r>
  <r>
    <x v="49"/>
    <x v="0"/>
    <x v="2"/>
    <m/>
    <s v="School Threewil"/>
    <n v="1200"/>
    <m/>
  </r>
  <r>
    <x v="50"/>
    <x v="1"/>
    <x v="1"/>
    <m/>
    <s v="Laptop Repair"/>
    <n v="4800"/>
    <m/>
  </r>
  <r>
    <x v="51"/>
    <x v="0"/>
    <x v="5"/>
    <m/>
    <s v="Extra Groceries"/>
    <n v="3474"/>
    <m/>
  </r>
  <r>
    <x v="51"/>
    <x v="0"/>
    <x v="5"/>
    <m/>
    <s v="Weekly Home Foods"/>
    <n v="2145"/>
    <m/>
  </r>
  <r>
    <x v="51"/>
    <x v="0"/>
    <x v="6"/>
    <m/>
    <s v="A4 Sheets"/>
    <n v="275"/>
    <m/>
  </r>
  <r>
    <x v="51"/>
    <x v="0"/>
    <x v="5"/>
    <m/>
    <s v="Gas"/>
    <n v="694"/>
    <m/>
  </r>
  <r>
    <x v="51"/>
    <x v="0"/>
    <x v="0"/>
    <m/>
    <s v="Lunch, Shorteats"/>
    <n v="1100"/>
    <m/>
  </r>
  <r>
    <x v="51"/>
    <x v="0"/>
    <x v="2"/>
    <m/>
    <s v="Petrol"/>
    <n v="3000"/>
    <m/>
  </r>
  <r>
    <x v="52"/>
    <x v="1"/>
    <x v="2"/>
    <m/>
    <s v="Weekly Travelling - Shalini"/>
    <n v="900"/>
    <m/>
  </r>
  <r>
    <x v="52"/>
    <x v="0"/>
    <x v="0"/>
    <m/>
    <s v="Weelky Food - Mahesh"/>
    <n v="540"/>
    <m/>
  </r>
  <r>
    <x v="52"/>
    <x v="1"/>
    <x v="2"/>
    <m/>
    <s v="Weekly Travelling - Mahesh"/>
    <n v="670"/>
    <m/>
  </r>
  <r>
    <x v="53"/>
    <x v="0"/>
    <x v="2"/>
    <m/>
    <s v="School Threewil - Arrears"/>
    <n v="900"/>
    <m/>
  </r>
  <r>
    <x v="53"/>
    <x v="0"/>
    <x v="2"/>
    <m/>
    <s v="School Threewil"/>
    <n v="600"/>
    <m/>
  </r>
  <r>
    <x v="54"/>
    <x v="1"/>
    <x v="22"/>
    <m/>
    <s v="Shalini Exam Fees"/>
    <n v="10000"/>
    <m/>
  </r>
  <r>
    <x v="54"/>
    <x v="1"/>
    <x v="21"/>
    <m/>
    <s v="TEMU"/>
    <n v="1957.88"/>
    <m/>
  </r>
  <r>
    <x v="54"/>
    <x v="2"/>
    <x v="13"/>
    <m/>
    <s v="Valuation Fees - KWID"/>
    <n v="4500"/>
    <m/>
  </r>
  <r>
    <x v="54"/>
    <x v="0"/>
    <x v="11"/>
    <m/>
    <s v="Vezel Arrears Settlement"/>
    <n v="60000"/>
    <m/>
  </r>
  <r>
    <x v="54"/>
    <x v="2"/>
    <x v="3"/>
    <s v="Vehicle Rent"/>
    <s v="Alto Rent - Part 1 - March"/>
    <m/>
    <n v="50000"/>
  </r>
  <r>
    <x v="54"/>
    <x v="2"/>
    <x v="3"/>
    <s v="Vehicle Rent"/>
    <s v="Alto Rent - Part  2 - Service Deduction"/>
    <m/>
    <n v="5000"/>
  </r>
  <r>
    <x v="54"/>
    <x v="2"/>
    <x v="17"/>
    <m/>
    <s v="Alto Service - Part 1"/>
    <n v="5000"/>
    <m/>
  </r>
  <r>
    <x v="55"/>
    <x v="0"/>
    <x v="0"/>
    <m/>
    <s v="Dinner"/>
    <n v="370"/>
    <m/>
  </r>
  <r>
    <x v="55"/>
    <x v="0"/>
    <x v="12"/>
    <m/>
    <s v="Dialog - Mahesh"/>
    <n v="733.19"/>
    <m/>
  </r>
  <r>
    <x v="55"/>
    <x v="0"/>
    <x v="12"/>
    <m/>
    <s v="Dialog TV - Extra"/>
    <n v="350"/>
    <m/>
  </r>
  <r>
    <x v="56"/>
    <x v="5"/>
    <x v="19"/>
    <m/>
    <s v="Tabi - Injections &amp; Medicine"/>
    <n v="3318"/>
    <m/>
  </r>
  <r>
    <x v="56"/>
    <x v="0"/>
    <x v="0"/>
    <m/>
    <s v="Lunch - Aroma"/>
    <n v="1820"/>
    <m/>
  </r>
  <r>
    <x v="57"/>
    <x v="1"/>
    <x v="1"/>
    <m/>
    <s v="Shalini - Donation"/>
    <n v="500"/>
    <m/>
  </r>
  <r>
    <x v="57"/>
    <x v="0"/>
    <x v="5"/>
    <m/>
    <s v="Extra Food Expenses"/>
    <n v="4122.22"/>
    <m/>
  </r>
  <r>
    <x v="57"/>
    <x v="0"/>
    <x v="2"/>
    <m/>
    <s v="Petrol"/>
    <n v="2000"/>
    <m/>
  </r>
  <r>
    <x v="55"/>
    <x v="0"/>
    <x v="2"/>
    <m/>
    <s v="School Threewil - Arrears"/>
    <n v="900"/>
    <m/>
  </r>
  <r>
    <x v="58"/>
    <x v="1"/>
    <x v="2"/>
    <m/>
    <s v="Weekly Travelling - Shalini"/>
    <n v="1500"/>
    <m/>
  </r>
  <r>
    <x v="58"/>
    <x v="0"/>
    <x v="5"/>
    <m/>
    <s v="Weelky Food - Mahesh"/>
    <n v="900"/>
    <m/>
  </r>
  <r>
    <x v="58"/>
    <x v="0"/>
    <x v="2"/>
    <m/>
    <s v="Weekly Travelling - Mahesh"/>
    <n v="300"/>
    <m/>
  </r>
  <r>
    <x v="59"/>
    <x v="0"/>
    <x v="3"/>
    <s v="Salary"/>
    <s v="Salary Advance - Mahesh"/>
    <m/>
    <n v="35000"/>
  </r>
  <r>
    <x v="59"/>
    <x v="0"/>
    <x v="4"/>
    <m/>
    <s v="Anty Arrears"/>
    <n v="10800"/>
    <m/>
  </r>
  <r>
    <x v="59"/>
    <x v="0"/>
    <x v="5"/>
    <m/>
    <s v="Weekly Home Foods"/>
    <n v="8991"/>
    <m/>
  </r>
  <r>
    <x v="60"/>
    <x v="0"/>
    <x v="2"/>
    <m/>
    <s v="School Threewil - Arrears"/>
    <n v="1850"/>
    <m/>
  </r>
  <r>
    <x v="61"/>
    <x v="1"/>
    <x v="3"/>
    <s v="Salary"/>
    <s v="Salary - Shalini"/>
    <m/>
    <n v="93283"/>
  </r>
  <r>
    <x v="61"/>
    <x v="1"/>
    <x v="11"/>
    <m/>
    <s v="Loan - SMIB - Shalini"/>
    <n v="23270"/>
    <m/>
  </r>
  <r>
    <x v="61"/>
    <x v="1"/>
    <x v="1"/>
    <m/>
    <s v="Expenses"/>
    <n v="613"/>
    <m/>
  </r>
  <r>
    <x v="61"/>
    <x v="1"/>
    <x v="15"/>
    <m/>
    <s v="IIHS Fees"/>
    <n v="15000"/>
    <m/>
  </r>
  <r>
    <x v="61"/>
    <x v="1"/>
    <x v="15"/>
    <m/>
    <s v="Class Fees - Kamal"/>
    <n v="3000"/>
    <m/>
  </r>
  <r>
    <x v="61"/>
    <x v="1"/>
    <x v="1"/>
    <m/>
    <s v="Union Fees"/>
    <n v="1400"/>
    <m/>
  </r>
  <r>
    <x v="62"/>
    <x v="2"/>
    <x v="3"/>
    <s v="Vehicle Rent"/>
    <s v="KWID Rent"/>
    <m/>
    <n v="65000"/>
  </r>
  <r>
    <x v="62"/>
    <x v="2"/>
    <x v="17"/>
    <m/>
    <s v="KWID Service &amp; Break Oil"/>
    <n v="23300"/>
    <m/>
  </r>
  <r>
    <x v="62"/>
    <x v="0"/>
    <x v="2"/>
    <m/>
    <s v="School Threewil - Arrears"/>
    <n v="2100"/>
    <m/>
  </r>
  <r>
    <x v="63"/>
    <x v="0"/>
    <x v="5"/>
    <m/>
    <s v="Extra Food Expenses"/>
    <n v="4505"/>
    <m/>
  </r>
  <r>
    <x v="63"/>
    <x v="0"/>
    <x v="10"/>
    <m/>
    <s v="Gas"/>
    <n v="694"/>
    <m/>
  </r>
  <r>
    <x v="63"/>
    <x v="0"/>
    <x v="0"/>
    <m/>
    <s v="Dinner"/>
    <n v="600"/>
    <m/>
  </r>
  <r>
    <x v="64"/>
    <x v="0"/>
    <x v="2"/>
    <m/>
    <s v="Petrol"/>
    <n v="2000"/>
    <m/>
  </r>
  <r>
    <x v="64"/>
    <x v="2"/>
    <x v="11"/>
    <m/>
    <s v="Leasing - Alto"/>
    <n v="44000"/>
    <m/>
  </r>
  <r>
    <x v="64"/>
    <x v="0"/>
    <x v="5"/>
    <m/>
    <s v="Extra Food Expenses"/>
    <n v="860"/>
    <m/>
  </r>
  <r>
    <x v="64"/>
    <x v="0"/>
    <x v="5"/>
    <m/>
    <s v="Chocolates"/>
    <n v="880"/>
    <m/>
  </r>
  <r>
    <x v="64"/>
    <x v="0"/>
    <x v="18"/>
    <m/>
    <s v="Shoes, Denims - Mahesh"/>
    <n v="4650"/>
    <m/>
  </r>
  <r>
    <x v="64"/>
    <x v="1"/>
    <x v="1"/>
    <m/>
    <s v="Shalini Expenses"/>
    <n v="4000"/>
    <m/>
  </r>
  <r>
    <x v="65"/>
    <x v="0"/>
    <x v="5"/>
    <m/>
    <s v="Extra Food Expenses"/>
    <n v="1860"/>
    <m/>
  </r>
  <r>
    <x v="65"/>
    <x v="0"/>
    <x v="11"/>
    <m/>
    <s v="Leasing - Vezel"/>
    <n v="30000"/>
    <m/>
  </r>
  <r>
    <x v="66"/>
    <x v="2"/>
    <x v="3"/>
    <s v="Vehicle Rent"/>
    <s v="Alto Rent - Part"/>
    <m/>
    <n v="15000"/>
  </r>
  <r>
    <x v="66"/>
    <x v="1"/>
    <x v="2"/>
    <m/>
    <s v="Weekly Travelling - Shalini"/>
    <n v="750"/>
    <m/>
  </r>
  <r>
    <x v="66"/>
    <x v="0"/>
    <x v="5"/>
    <m/>
    <s v="Weelky Food - Mahesh"/>
    <n v="900"/>
    <m/>
  </r>
  <r>
    <x v="66"/>
    <x v="0"/>
    <x v="2"/>
    <m/>
    <s v="Weekly Travelling - Mahesh"/>
    <n v="300"/>
    <m/>
  </r>
  <r>
    <x v="66"/>
    <x v="1"/>
    <x v="6"/>
    <m/>
    <s v="Stationary"/>
    <n v="150"/>
    <m/>
  </r>
  <r>
    <x v="66"/>
    <x v="0"/>
    <x v="2"/>
    <m/>
    <s v="School Threewil- Arrears"/>
    <n v="2200"/>
    <m/>
  </r>
  <r>
    <x v="67"/>
    <x v="2"/>
    <x v="3"/>
    <s v="Vehicle Rent"/>
    <s v="Alto Rent - Part"/>
    <m/>
    <n v="55000"/>
  </r>
  <r>
    <x v="67"/>
    <x v="2"/>
    <x v="3"/>
    <s v="Vehicle Rent"/>
    <s v="KWID Rent - Part"/>
    <m/>
    <n v="20000"/>
  </r>
  <r>
    <x v="67"/>
    <x v="2"/>
    <x v="17"/>
    <m/>
    <s v="KWID (Coil 3 &amp; Plugs 3, Gum - 34.9k, 9.6k Seram)"/>
    <n v="44000"/>
    <m/>
  </r>
  <r>
    <x v="68"/>
    <x v="0"/>
    <x v="4"/>
    <m/>
    <s v="Anty"/>
    <n v="1000"/>
    <m/>
  </r>
  <r>
    <x v="68"/>
    <x v="2"/>
    <x v="17"/>
    <m/>
    <s v="KWID ECU Repair"/>
    <n v="30000"/>
    <m/>
  </r>
  <r>
    <x v="69"/>
    <x v="0"/>
    <x v="2"/>
    <m/>
    <s v="Petrol"/>
    <n v="2000"/>
    <m/>
  </r>
  <r>
    <x v="69"/>
    <x v="0"/>
    <x v="5"/>
    <m/>
    <s v="Weekly Home Foods"/>
    <n v="6992"/>
    <m/>
  </r>
  <r>
    <x v="70"/>
    <x v="2"/>
    <x v="3"/>
    <s v="Vehicle Rent"/>
    <s v="Alto Rent - Advance Next Month"/>
    <m/>
    <n v="10000"/>
  </r>
  <r>
    <x v="70"/>
    <x v="2"/>
    <x v="17"/>
    <m/>
    <s v="KWID (Tapped Cover 10.5k, Gum 11.5K)"/>
    <n v="22100"/>
    <m/>
  </r>
  <r>
    <x v="70"/>
    <x v="0"/>
    <x v="5"/>
    <m/>
    <s v="Weelky Food - Mahesh"/>
    <n v="900"/>
    <m/>
  </r>
  <r>
    <x v="70"/>
    <x v="0"/>
    <x v="2"/>
    <m/>
    <s v="Weekly Travelling - Mahesh"/>
    <n v="800"/>
    <m/>
  </r>
  <r>
    <x v="71"/>
    <x v="0"/>
    <x v="3"/>
    <s v="Salary"/>
    <s v="Bonus - New Year"/>
    <m/>
    <n v="40000"/>
  </r>
  <r>
    <x v="71"/>
    <x v="3"/>
    <x v="18"/>
    <m/>
    <s v="Clothes"/>
    <n v="630"/>
    <m/>
  </r>
  <r>
    <x v="71"/>
    <x v="3"/>
    <x v="5"/>
    <m/>
    <s v="New Year Foods - Kids"/>
    <n v="800"/>
    <m/>
  </r>
  <r>
    <x v="71"/>
    <x v="4"/>
    <x v="5"/>
    <m/>
    <s v="New Year Foods - Kids"/>
    <n v="1150"/>
    <m/>
  </r>
  <r>
    <x v="71"/>
    <x v="1"/>
    <x v="2"/>
    <m/>
    <s v="Travelling - Shalini"/>
    <n v="1395"/>
    <m/>
  </r>
  <r>
    <x v="71"/>
    <x v="1"/>
    <x v="0"/>
    <m/>
    <s v="Lunch - Shalini"/>
    <n v="760"/>
    <m/>
  </r>
  <r>
    <x v="71"/>
    <x v="0"/>
    <x v="2"/>
    <m/>
    <s v="School Threewil"/>
    <n v="750"/>
    <m/>
  </r>
  <r>
    <x v="71"/>
    <x v="0"/>
    <x v="0"/>
    <m/>
    <s v="Dinner"/>
    <n v="1800"/>
    <m/>
  </r>
  <r>
    <x v="72"/>
    <x v="0"/>
    <x v="3"/>
    <s v="Salary"/>
    <s v="Salary - March 2025"/>
    <m/>
    <n v="148000"/>
  </r>
  <r>
    <x v="72"/>
    <x v="0"/>
    <x v="12"/>
    <m/>
    <s v="Router"/>
    <n v="2685"/>
    <m/>
  </r>
  <r>
    <x v="72"/>
    <x v="1"/>
    <x v="12"/>
    <m/>
    <s v="AirtelS"/>
    <n v="1398"/>
    <m/>
  </r>
  <r>
    <x v="72"/>
    <x v="0"/>
    <x v="12"/>
    <m/>
    <s v="AirtelM"/>
    <n v="1398"/>
    <m/>
  </r>
  <r>
    <x v="72"/>
    <x v="0"/>
    <x v="12"/>
    <m/>
    <s v="TV"/>
    <n v="700"/>
    <m/>
  </r>
  <r>
    <x v="72"/>
    <x v="0"/>
    <x v="5"/>
    <m/>
    <s v="Weekly Home Foods"/>
    <n v="3978"/>
    <m/>
  </r>
  <r>
    <x v="72"/>
    <x v="0"/>
    <x v="9"/>
    <m/>
    <s v="Interest - Ammi S"/>
    <n v="10500"/>
    <m/>
  </r>
  <r>
    <x v="72"/>
    <x v="0"/>
    <x v="12"/>
    <m/>
    <s v="Dialog Bill - Mahesh"/>
    <n v="687.23"/>
    <m/>
  </r>
  <r>
    <x v="73"/>
    <x v="0"/>
    <x v="4"/>
    <m/>
    <s v="Anty"/>
    <n v="8600"/>
    <m/>
  </r>
  <r>
    <x v="73"/>
    <x v="0"/>
    <x v="2"/>
    <m/>
    <s v="School Threewil"/>
    <n v="1200"/>
    <m/>
  </r>
  <r>
    <x v="73"/>
    <x v="0"/>
    <x v="10"/>
    <m/>
    <s v="Gas"/>
    <n v="3890"/>
    <m/>
  </r>
  <r>
    <x v="73"/>
    <x v="0"/>
    <x v="0"/>
    <m/>
    <s v="Dinner"/>
    <n v="860"/>
    <m/>
  </r>
  <r>
    <x v="73"/>
    <x v="0"/>
    <x v="5"/>
    <m/>
    <s v="Weekly Home Foods"/>
    <n v="1765"/>
    <m/>
  </r>
  <r>
    <x v="74"/>
    <x v="0"/>
    <x v="1"/>
    <m/>
    <s v="Anty - Avurudu Bonus"/>
    <n v="2000"/>
    <m/>
  </r>
  <r>
    <x v="74"/>
    <x v="0"/>
    <x v="17"/>
    <m/>
    <s v="Barrery Charge - Vezel"/>
    <n v="1150"/>
    <m/>
  </r>
  <r>
    <x v="74"/>
    <x v="0"/>
    <x v="5"/>
    <m/>
    <s v="Weekly Home Foods"/>
    <n v="14476"/>
    <m/>
  </r>
  <r>
    <x v="74"/>
    <x v="1"/>
    <x v="7"/>
    <m/>
    <s v="Birthday - Shalini - Cake"/>
    <n v="2200"/>
    <m/>
  </r>
  <r>
    <x v="74"/>
    <x v="1"/>
    <x v="18"/>
    <m/>
    <s v="Birthday - Shalini - Clothes"/>
    <n v="2460"/>
    <m/>
  </r>
  <r>
    <x v="74"/>
    <x v="0"/>
    <x v="20"/>
    <m/>
    <s v="3 no;s Used Tyres - Vezel"/>
    <n v="15500"/>
    <m/>
  </r>
  <r>
    <x v="74"/>
    <x v="0"/>
    <x v="20"/>
    <m/>
    <s v="Battery - Vezel"/>
    <n v="11000"/>
    <m/>
  </r>
  <r>
    <x v="74"/>
    <x v="0"/>
    <x v="7"/>
    <m/>
    <s v="New Year Foods"/>
    <n v="800"/>
    <m/>
  </r>
  <r>
    <x v="74"/>
    <x v="0"/>
    <x v="5"/>
    <m/>
    <s v="Weekly Home Foods"/>
    <n v="3637"/>
    <m/>
  </r>
  <r>
    <x v="75"/>
    <x v="0"/>
    <x v="0"/>
    <m/>
    <s v="Lunch - Aroma"/>
    <n v="1080"/>
    <m/>
  </r>
  <r>
    <x v="76"/>
    <x v="3"/>
    <x v="23"/>
    <m/>
    <s v="School Fees - Siluni"/>
    <n v="49450"/>
    <m/>
  </r>
  <r>
    <x v="77"/>
    <x v="0"/>
    <x v="2"/>
    <m/>
    <s v="Petrol"/>
    <n v="2000"/>
    <m/>
  </r>
  <r>
    <x v="78"/>
    <x v="0"/>
    <x v="7"/>
    <m/>
    <s v="Bopath Ella Trip - Breakfast"/>
    <n v="900"/>
    <m/>
  </r>
  <r>
    <x v="78"/>
    <x v="0"/>
    <x v="7"/>
    <m/>
    <s v="Bopath Ella Trip - Petrol"/>
    <n v="2000"/>
    <m/>
  </r>
  <r>
    <x v="78"/>
    <x v="0"/>
    <x v="7"/>
    <m/>
    <s v="Bopath Ella Trip - Snacks"/>
    <n v="745"/>
    <m/>
  </r>
  <r>
    <x v="78"/>
    <x v="0"/>
    <x v="7"/>
    <m/>
    <s v="Ellawala Visit Avurudu Gifts"/>
    <n v="3080"/>
    <m/>
  </r>
  <r>
    <x v="79"/>
    <x v="0"/>
    <x v="7"/>
    <m/>
    <s v="Bopath Ella Trip - Petrol"/>
    <n v="2000"/>
    <m/>
  </r>
  <r>
    <x v="79"/>
    <x v="0"/>
    <x v="5"/>
    <m/>
    <s v="Asmi &amp; Dodol"/>
    <n v="1650"/>
    <m/>
  </r>
  <r>
    <x v="79"/>
    <x v="0"/>
    <x v="1"/>
    <m/>
    <s v="Kids Gifts"/>
    <n v="450"/>
    <m/>
  </r>
  <r>
    <x v="79"/>
    <x v="0"/>
    <x v="5"/>
    <m/>
    <s v="Mid Week Home Foods"/>
    <n v="4742"/>
    <m/>
  </r>
  <r>
    <x v="78"/>
    <x v="0"/>
    <x v="4"/>
    <m/>
    <s v="Anty"/>
    <n v="1000"/>
    <m/>
  </r>
  <r>
    <x v="80"/>
    <x v="0"/>
    <x v="14"/>
    <m/>
    <s v="Water"/>
    <n v="2792.17"/>
    <m/>
  </r>
  <r>
    <x v="80"/>
    <x v="0"/>
    <x v="16"/>
    <m/>
    <s v="CEB"/>
    <n v="4307.38"/>
    <m/>
  </r>
  <r>
    <x v="80"/>
    <x v="0"/>
    <x v="5"/>
    <m/>
    <s v="Weekly Home Foods"/>
    <n v="8647"/>
    <m/>
  </r>
  <r>
    <x v="81"/>
    <x v="1"/>
    <x v="2"/>
    <m/>
    <s v="Weekly Travelling - Shalini"/>
    <n v="550"/>
    <m/>
  </r>
  <r>
    <x v="81"/>
    <x v="3"/>
    <x v="6"/>
    <m/>
    <s v="Books"/>
    <n v="200"/>
    <m/>
  </r>
  <r>
    <x v="81"/>
    <x v="1"/>
    <x v="0"/>
    <m/>
    <s v="Bread"/>
    <n v="200"/>
    <m/>
  </r>
  <r>
    <x v="81"/>
    <x v="0"/>
    <x v="0"/>
    <m/>
    <s v="Weelky Food - Mahesh"/>
    <n v="900"/>
    <m/>
  </r>
  <r>
    <x v="81"/>
    <x v="0"/>
    <x v="2"/>
    <m/>
    <s v="Weekly Travelling - Mahesh"/>
    <n v="820"/>
    <m/>
  </r>
  <r>
    <x v="82"/>
    <x v="1"/>
    <x v="3"/>
    <s v="Salary"/>
    <s v="Shalini Given"/>
    <m/>
    <n v="50000"/>
  </r>
  <r>
    <x v="82"/>
    <x v="1"/>
    <x v="3"/>
    <s v="Salary"/>
    <s v="Salary - Shalini"/>
    <m/>
    <n v="50000"/>
  </r>
  <r>
    <x v="82"/>
    <x v="0"/>
    <x v="3"/>
    <s v="Salary"/>
    <s v="Salary Advance - Mahesh"/>
    <m/>
    <n v="35000"/>
  </r>
  <r>
    <x v="82"/>
    <x v="0"/>
    <x v="0"/>
    <m/>
    <s v="Dinner"/>
    <n v="1340"/>
    <m/>
  </r>
  <r>
    <x v="82"/>
    <x v="4"/>
    <x v="7"/>
    <m/>
    <s v="Birthday - Ralini"/>
    <n v="3324"/>
    <m/>
  </r>
  <r>
    <x v="82"/>
    <x v="4"/>
    <x v="23"/>
    <m/>
    <s v="School Fees - Ralini"/>
    <n v="42435"/>
    <m/>
  </r>
  <r>
    <x v="82"/>
    <x v="2"/>
    <x v="13"/>
    <m/>
    <s v="RMV Charges"/>
    <n v="8700"/>
    <m/>
  </r>
  <r>
    <x v="82"/>
    <x v="1"/>
    <x v="15"/>
    <m/>
    <s v="IIHS Fees - Shalini"/>
    <n v="50000"/>
    <m/>
  </r>
  <r>
    <x v="83"/>
    <x v="0"/>
    <x v="0"/>
    <m/>
    <s v="Lunch"/>
    <n v="850"/>
    <m/>
  </r>
  <r>
    <x v="83"/>
    <x v="0"/>
    <x v="11"/>
    <m/>
    <s v="Leasing Arrears - Vezel"/>
    <n v="30000"/>
    <m/>
  </r>
  <r>
    <x v="83"/>
    <x v="4"/>
    <x v="7"/>
    <m/>
    <s v="Birthday Cake - Ralini"/>
    <n v="3130"/>
    <m/>
  </r>
  <r>
    <x v="83"/>
    <x v="0"/>
    <x v="5"/>
    <m/>
    <s v="Weekly Home Foods"/>
    <n v="4654"/>
    <m/>
  </r>
  <r>
    <x v="84"/>
    <x v="1"/>
    <x v="2"/>
    <m/>
    <s v="Weekly Travelling - Shalini"/>
    <n v="200"/>
    <m/>
  </r>
  <r>
    <x v="84"/>
    <x v="0"/>
    <x v="0"/>
    <m/>
    <s v="Weelky Food - Mahesh"/>
    <n v="720"/>
    <m/>
  </r>
  <r>
    <x v="84"/>
    <x v="0"/>
    <x v="2"/>
    <m/>
    <s v="Weekly Travelling - Mahesh"/>
    <n v="560"/>
    <m/>
  </r>
  <r>
    <x v="85"/>
    <x v="2"/>
    <x v="3"/>
    <s v="Vehicle Rent"/>
    <s v="KWID Rent - Part"/>
    <m/>
    <n v="27800"/>
  </r>
  <r>
    <x v="86"/>
    <x v="0"/>
    <x v="4"/>
    <m/>
    <s v="Anty"/>
    <n v="8000"/>
    <m/>
  </r>
  <r>
    <x v="86"/>
    <x v="0"/>
    <x v="0"/>
    <m/>
    <s v="Dinner"/>
    <n v="700"/>
    <m/>
  </r>
  <r>
    <x v="87"/>
    <x v="0"/>
    <x v="5"/>
    <m/>
    <s v="Weekly Home Foods"/>
    <n v="8728"/>
    <m/>
  </r>
  <r>
    <x v="87"/>
    <x v="0"/>
    <x v="2"/>
    <m/>
    <s v="Petrol"/>
    <n v="2000"/>
    <m/>
  </r>
  <r>
    <x v="87"/>
    <x v="4"/>
    <x v="7"/>
    <m/>
    <s v="Exam Treat - Ralini - KFC"/>
    <n v="3590"/>
    <m/>
  </r>
  <r>
    <x v="88"/>
    <x v="0"/>
    <x v="2"/>
    <m/>
    <s v="Train Season"/>
    <n v="1000"/>
    <m/>
  </r>
  <r>
    <x v="88"/>
    <x v="0"/>
    <x v="0"/>
    <m/>
    <s v="Dinner"/>
    <n v="750"/>
    <m/>
  </r>
  <r>
    <x v="89"/>
    <x v="0"/>
    <x v="0"/>
    <m/>
    <s v="Extra Lunch"/>
    <n v="790"/>
    <m/>
  </r>
  <r>
    <x v="89"/>
    <x v="0"/>
    <x v="5"/>
    <m/>
    <s v="Snacks"/>
    <n v="390"/>
    <m/>
  </r>
  <r>
    <x v="89"/>
    <x v="0"/>
    <x v="5"/>
    <m/>
    <s v="Mid week Home Foods"/>
    <n v="1265"/>
    <m/>
  </r>
  <r>
    <x v="90"/>
    <x v="1"/>
    <x v="2"/>
    <m/>
    <s v="Weekly Travelling - Shalini"/>
    <n v="350"/>
    <m/>
  </r>
  <r>
    <x v="90"/>
    <x v="0"/>
    <x v="0"/>
    <m/>
    <s v="Weelky Food - Mahesh"/>
    <n v="900"/>
    <m/>
  </r>
  <r>
    <x v="90"/>
    <x v="0"/>
    <x v="2"/>
    <m/>
    <s v="Weekly Travelling - Mahesh"/>
    <n v="300"/>
    <m/>
  </r>
  <r>
    <x v="90"/>
    <x v="0"/>
    <x v="2"/>
    <m/>
    <s v="School Threewil"/>
    <n v="1650"/>
    <m/>
  </r>
  <r>
    <x v="91"/>
    <x v="3"/>
    <x v="15"/>
    <m/>
    <s v="Class Fees - Maths"/>
    <n v="1500"/>
    <m/>
  </r>
  <r>
    <x v="91"/>
    <x v="4"/>
    <x v="15"/>
    <m/>
    <s v="Class Fees - Maths"/>
    <n v="1500"/>
    <m/>
  </r>
  <r>
    <x v="92"/>
    <x v="2"/>
    <x v="3"/>
    <s v="Vehicle Rent"/>
    <m/>
    <m/>
    <n v="60000"/>
  </r>
  <r>
    <x v="92"/>
    <x v="3"/>
    <x v="6"/>
    <m/>
    <s v="Books for New Term"/>
    <n v="680"/>
    <m/>
  </r>
  <r>
    <x v="92"/>
    <x v="4"/>
    <x v="6"/>
    <m/>
    <s v="Books for New Term"/>
    <n v="680"/>
    <m/>
  </r>
  <r>
    <x v="93"/>
    <x v="0"/>
    <x v="3"/>
    <s v="Salary"/>
    <s v="Salary - Mahesh"/>
    <m/>
    <n v="148000"/>
  </r>
  <r>
    <x v="93"/>
    <x v="0"/>
    <x v="5"/>
    <m/>
    <s v="Weekly Home Foods"/>
    <n v="14152"/>
    <m/>
  </r>
  <r>
    <x v="93"/>
    <x v="0"/>
    <x v="0"/>
    <m/>
    <s v="Dinner"/>
    <n v="650"/>
    <m/>
  </r>
  <r>
    <x v="94"/>
    <x v="3"/>
    <x v="6"/>
    <m/>
    <s v="Stationary"/>
    <n v="415"/>
    <m/>
  </r>
  <r>
    <x v="94"/>
    <x v="2"/>
    <x v="17"/>
    <m/>
    <s v="Kwid-BreakPads,HubRazer,LowerArms"/>
    <n v="21900"/>
    <m/>
  </r>
  <r>
    <x v="94"/>
    <x v="2"/>
    <x v="17"/>
    <m/>
    <s v="Kwid Repair-Light"/>
    <n v="200"/>
    <m/>
  </r>
  <r>
    <x v="94"/>
    <x v="2"/>
    <x v="17"/>
    <m/>
    <s v="Kwid Repair-15w40 Oil"/>
    <n v="3100"/>
    <m/>
  </r>
  <r>
    <x v="94"/>
    <x v="2"/>
    <x v="17"/>
    <m/>
    <s v="Kwid Repair-Lathe"/>
    <n v="400"/>
    <m/>
  </r>
  <r>
    <x v="94"/>
    <x v="2"/>
    <x v="17"/>
    <m/>
    <s v="Kwid Repair-Seram"/>
    <n v="8200"/>
    <m/>
  </r>
  <r>
    <x v="94"/>
    <x v="2"/>
    <x v="17"/>
    <m/>
    <s v="Kwid Repair-Seram"/>
    <n v="8000"/>
    <m/>
  </r>
  <r>
    <x v="95"/>
    <x v="0"/>
    <x v="12"/>
    <m/>
    <s v="Router"/>
    <n v="2685"/>
    <m/>
  </r>
  <r>
    <x v="95"/>
    <x v="1"/>
    <x v="12"/>
    <m/>
    <s v="AirtelS"/>
    <n v="1398"/>
    <m/>
  </r>
  <r>
    <x v="95"/>
    <x v="0"/>
    <x v="12"/>
    <m/>
    <s v="AirtelM"/>
    <n v="1463"/>
    <m/>
  </r>
  <r>
    <x v="95"/>
    <x v="0"/>
    <x v="12"/>
    <m/>
    <s v="DialogM"/>
    <n v="889.73"/>
    <m/>
  </r>
  <r>
    <x v="95"/>
    <x v="0"/>
    <x v="12"/>
    <m/>
    <s v="TV"/>
    <n v="760"/>
    <m/>
  </r>
  <r>
    <x v="95"/>
    <x v="0"/>
    <x v="9"/>
    <m/>
    <s v="Interest - Ammi S"/>
    <n v="10500"/>
    <m/>
  </r>
  <r>
    <x v="95"/>
    <x v="1"/>
    <x v="2"/>
    <m/>
    <s v="Weekly Travelling - Shalini"/>
    <n v="1660"/>
    <m/>
  </r>
  <r>
    <x v="95"/>
    <x v="0"/>
    <x v="0"/>
    <m/>
    <s v="Weelky Food - Mahesh"/>
    <n v="640"/>
    <m/>
  </r>
  <r>
    <x v="95"/>
    <x v="0"/>
    <x v="2"/>
    <m/>
    <s v="Weekly Travelling - Mahesh"/>
    <n v="180"/>
    <m/>
  </r>
  <r>
    <x v="95"/>
    <x v="0"/>
    <x v="2"/>
    <m/>
    <s v="School Threewil 1"/>
    <n v="750"/>
    <m/>
  </r>
  <r>
    <x v="95"/>
    <x v="0"/>
    <x v="2"/>
    <m/>
    <s v="School Threewil 2"/>
    <n v="900"/>
    <m/>
  </r>
  <r>
    <x v="96"/>
    <x v="0"/>
    <x v="7"/>
    <m/>
    <s v="Bandarawela Trip"/>
    <n v="17304"/>
    <m/>
  </r>
  <r>
    <x v="95"/>
    <x v="0"/>
    <x v="11"/>
    <m/>
    <s v="Loan Me Arrears -Part 1"/>
    <n v="15000"/>
    <m/>
  </r>
  <r>
    <x v="97"/>
    <x v="3"/>
    <x v="15"/>
    <m/>
    <s v="Sinhala Class Fees"/>
    <n v="500"/>
    <m/>
  </r>
  <r>
    <x v="97"/>
    <x v="4"/>
    <x v="15"/>
    <m/>
    <s v="Sinhala Class Fees"/>
    <n v="500"/>
    <m/>
  </r>
  <r>
    <x v="98"/>
    <x v="0"/>
    <x v="0"/>
    <m/>
    <s v="DInner"/>
    <n v="1595"/>
    <m/>
  </r>
  <r>
    <x v="98"/>
    <x v="0"/>
    <x v="1"/>
    <m/>
    <s v="Short"/>
    <n v="11080"/>
    <m/>
  </r>
  <r>
    <x v="99"/>
    <x v="0"/>
    <x v="4"/>
    <m/>
    <s v="Anty (10 * 800)"/>
    <n v="8000"/>
    <m/>
  </r>
  <r>
    <x v="100"/>
    <x v="0"/>
    <x v="5"/>
    <m/>
    <s v="Weekly Home Foods"/>
    <n v="7440"/>
    <m/>
  </r>
  <r>
    <x v="100"/>
    <x v="0"/>
    <x v="2"/>
    <m/>
    <s v="Petrol"/>
    <n v="2000"/>
    <m/>
  </r>
  <r>
    <x v="100"/>
    <x v="0"/>
    <x v="2"/>
    <m/>
    <s v="Highway Fees"/>
    <n v="300"/>
    <m/>
  </r>
  <r>
    <x v="100"/>
    <x v="0"/>
    <x v="0"/>
    <m/>
    <s v="Lunch &amp; Dinner"/>
    <n v="1000"/>
    <m/>
  </r>
  <r>
    <x v="101"/>
    <x v="6"/>
    <x v="2"/>
    <m/>
    <s v="Weekly Travelling - Shalini"/>
    <n v="1500"/>
    <m/>
  </r>
  <r>
    <x v="101"/>
    <x v="6"/>
    <x v="0"/>
    <m/>
    <s v="Weelky Food - Mahesh"/>
    <n v="900"/>
    <m/>
  </r>
  <r>
    <x v="101"/>
    <x v="6"/>
    <x v="2"/>
    <m/>
    <s v="Weekly Travelling - Mahesh"/>
    <n v="300"/>
    <m/>
  </r>
  <r>
    <x v="101"/>
    <x v="6"/>
    <x v="2"/>
    <m/>
    <s v="School Threewil"/>
    <n v="1500"/>
    <m/>
  </r>
  <r>
    <x v="101"/>
    <x v="6"/>
    <x v="7"/>
    <m/>
    <s v="Birthday - Siluni"/>
    <n v="11390"/>
    <m/>
  </r>
  <r>
    <x v="102"/>
    <x v="6"/>
    <x v="15"/>
    <m/>
    <s v="Class Fees - Sinhala"/>
    <n v="1000"/>
    <m/>
  </r>
  <r>
    <x v="102"/>
    <x v="2"/>
    <x v="11"/>
    <m/>
    <s v="LB Finance Settlement Balance"/>
    <n v="5590"/>
    <m/>
  </r>
  <r>
    <x v="102"/>
    <x v="6"/>
    <x v="4"/>
    <m/>
    <s v="Anty"/>
    <n v="500"/>
    <m/>
  </r>
  <r>
    <x v="102"/>
    <x v="6"/>
    <x v="2"/>
    <m/>
    <s v="Taxi - Class"/>
    <n v="500"/>
    <m/>
  </r>
  <r>
    <x v="103"/>
    <x v="6"/>
    <x v="2"/>
    <m/>
    <s v="Petrol"/>
    <n v="2000"/>
    <m/>
  </r>
  <r>
    <x v="103"/>
    <x v="6"/>
    <x v="2"/>
    <m/>
    <s v="Taxi - Shalini"/>
    <n v="500"/>
    <m/>
  </r>
  <r>
    <x v="104"/>
    <x v="5"/>
    <x v="3"/>
    <s v="Other"/>
    <s v="Vezel - Insurance Claim"/>
    <m/>
    <n v="23000"/>
  </r>
  <r>
    <x v="104"/>
    <x v="6"/>
    <x v="5"/>
    <m/>
    <s v="Mid Week Foods"/>
    <n v="4275"/>
    <m/>
  </r>
  <r>
    <x v="104"/>
    <x v="6"/>
    <x v="0"/>
    <m/>
    <s v="Mid Week Lunch &amp; Dinner"/>
    <n v="590"/>
    <m/>
  </r>
  <r>
    <x v="104"/>
    <x v="2"/>
    <x v="11"/>
    <m/>
    <s v="Leasing - KWID"/>
    <n v="58154"/>
    <m/>
  </r>
  <r>
    <x v="105"/>
    <x v="6"/>
    <x v="2"/>
    <m/>
    <s v="Petrol"/>
    <n v="2000"/>
    <m/>
  </r>
  <r>
    <x v="105"/>
    <x v="6"/>
    <x v="5"/>
    <m/>
    <s v="Weekly Home Foods"/>
    <n v="12957"/>
    <m/>
  </r>
  <r>
    <x v="105"/>
    <x v="6"/>
    <x v="21"/>
    <m/>
    <s v="Deodrent"/>
    <n v="470"/>
    <m/>
  </r>
  <r>
    <x v="105"/>
    <x v="6"/>
    <x v="0"/>
    <m/>
    <s v="Breakfast/Lunch"/>
    <n v="410"/>
    <m/>
  </r>
  <r>
    <x v="106"/>
    <x v="0"/>
    <x v="3"/>
    <s v="Salary"/>
    <s v="Salary Advance - Mahesh"/>
    <m/>
    <n v="35000"/>
  </r>
  <r>
    <x v="106"/>
    <x v="6"/>
    <x v="2"/>
    <m/>
    <s v="Weekly Travelling - Shalini"/>
    <n v="1500"/>
    <m/>
  </r>
  <r>
    <x v="106"/>
    <x v="6"/>
    <x v="0"/>
    <m/>
    <s v="Weelky Food - Mahesh"/>
    <n v="900"/>
    <m/>
  </r>
  <r>
    <x v="106"/>
    <x v="6"/>
    <x v="2"/>
    <m/>
    <s v="Weekly Travelling - Mahesh"/>
    <n v="300"/>
    <m/>
  </r>
  <r>
    <x v="106"/>
    <x v="6"/>
    <x v="2"/>
    <m/>
    <s v="School Threewil"/>
    <n v="1500"/>
    <m/>
  </r>
  <r>
    <x v="107"/>
    <x v="1"/>
    <x v="3"/>
    <s v="Salary"/>
    <s v="Salary - Shalini"/>
    <m/>
    <n v="50000"/>
  </r>
  <r>
    <x v="108"/>
    <x v="2"/>
    <x v="3"/>
    <s v="Vehicle Rent"/>
    <s v="KWID Rent"/>
    <m/>
    <n v="65000"/>
  </r>
  <r>
    <x v="108"/>
    <x v="6"/>
    <x v="15"/>
    <m/>
    <s v="Sinhala Class Fees"/>
    <n v="1000"/>
    <m/>
  </r>
  <r>
    <x v="108"/>
    <x v="2"/>
    <x v="20"/>
    <m/>
    <s v="KWID - Battery"/>
    <n v="16000"/>
    <m/>
  </r>
  <r>
    <x v="109"/>
    <x v="6"/>
    <x v="0"/>
    <m/>
    <s v="Dinner"/>
    <n v="1800"/>
    <m/>
  </r>
  <r>
    <x v="110"/>
    <x v="6"/>
    <x v="5"/>
    <m/>
    <s v="Mid Week Foods"/>
    <n v="6037"/>
    <m/>
  </r>
  <r>
    <x v="110"/>
    <x v="6"/>
    <x v="17"/>
    <m/>
    <s v="Tyre Wheel Brush - Vezel"/>
    <n v="1000"/>
    <m/>
  </r>
  <r>
    <x v="110"/>
    <x v="6"/>
    <x v="10"/>
    <m/>
    <s v="Gas"/>
    <n v="695"/>
    <m/>
  </r>
  <r>
    <x v="110"/>
    <x v="6"/>
    <x v="14"/>
    <m/>
    <s v="Utility Bills - Water"/>
    <n v="3757.59"/>
    <m/>
  </r>
  <r>
    <x v="110"/>
    <x v="6"/>
    <x v="16"/>
    <m/>
    <s v="Utility Bills - CEB"/>
    <n v="3784"/>
    <m/>
  </r>
  <r>
    <x v="110"/>
    <x v="6"/>
    <x v="4"/>
    <m/>
    <s v="Anty"/>
    <n v="7500"/>
    <m/>
  </r>
  <r>
    <x v="110"/>
    <x v="6"/>
    <x v="11"/>
    <m/>
    <s v="Leasing - Vezel"/>
    <n v="60000"/>
    <m/>
  </r>
  <r>
    <x v="111"/>
    <x v="6"/>
    <x v="2"/>
    <m/>
    <s v="Ellawala Visit"/>
    <n v="5822"/>
    <m/>
  </r>
  <r>
    <x v="111"/>
    <x v="6"/>
    <x v="2"/>
    <m/>
    <s v="Petrol"/>
    <n v="2000"/>
    <m/>
  </r>
  <r>
    <x v="111"/>
    <x v="6"/>
    <x v="5"/>
    <m/>
    <s v="Weekly Home Foods"/>
    <n v="9257.18"/>
    <m/>
  </r>
  <r>
    <x v="112"/>
    <x v="2"/>
    <x v="3"/>
    <s v="Vehicle Rent"/>
    <s v="Alto Rent"/>
    <m/>
    <n v="60000"/>
  </r>
  <r>
    <x v="112"/>
    <x v="6"/>
    <x v="2"/>
    <m/>
    <s v="Train Season"/>
    <n v="1000"/>
    <m/>
  </r>
  <r>
    <x v="113"/>
    <x v="6"/>
    <x v="2"/>
    <m/>
    <s v="Weekly Travelling - Shalini"/>
    <n v="1500"/>
    <m/>
  </r>
  <r>
    <x v="113"/>
    <x v="6"/>
    <x v="0"/>
    <m/>
    <s v="Weelky Food - Mahesh"/>
    <n v="900"/>
    <m/>
  </r>
  <r>
    <x v="113"/>
    <x v="6"/>
    <x v="2"/>
    <m/>
    <s v="Weekly Travelling - Mahesh"/>
    <n v="300"/>
    <m/>
  </r>
  <r>
    <x v="114"/>
    <x v="6"/>
    <x v="15"/>
    <m/>
    <s v="Class Fees - Sinhala"/>
    <n v="1000"/>
    <m/>
  </r>
  <r>
    <x v="115"/>
    <x v="6"/>
    <x v="2"/>
    <m/>
    <s v="Class Travel - Sinhala"/>
    <n v="500"/>
    <m/>
  </r>
  <r>
    <x v="114"/>
    <x v="6"/>
    <x v="5"/>
    <m/>
    <s v="Mid Week Home Foods"/>
    <n v="9156"/>
    <m/>
  </r>
  <r>
    <x v="116"/>
    <x v="6"/>
    <x v="2"/>
    <m/>
    <s v="School Threewil"/>
    <n v="1500"/>
    <m/>
  </r>
  <r>
    <x v="117"/>
    <x v="6"/>
    <x v="5"/>
    <m/>
    <s v="Weekly Home Foods"/>
    <n v="9571.09"/>
    <m/>
  </r>
  <r>
    <x v="117"/>
    <x v="6"/>
    <x v="2"/>
    <m/>
    <s v="Petrol"/>
    <n v="6000"/>
    <m/>
  </r>
  <r>
    <x v="118"/>
    <x v="6"/>
    <x v="15"/>
    <m/>
    <s v="Class Fees - Maths"/>
    <n v="3000"/>
    <m/>
  </r>
  <r>
    <x v="118"/>
    <x v="6"/>
    <x v="7"/>
    <m/>
    <s v="Entertainment - Brown Beach &amp; Aiya Visit"/>
    <n v="2600"/>
    <m/>
  </r>
  <r>
    <x v="119"/>
    <x v="6"/>
    <x v="2"/>
    <m/>
    <s v="Taxi Fees - Sudumalli Home"/>
    <n v="1000"/>
    <m/>
  </r>
  <r>
    <x v="119"/>
    <x v="6"/>
    <x v="12"/>
    <m/>
    <s v="Utility Bills - Router"/>
    <n v="2595.5"/>
    <m/>
  </r>
  <r>
    <x v="119"/>
    <x v="6"/>
    <x v="12"/>
    <m/>
    <s v="Utility Bills -TV"/>
    <n v="800"/>
    <m/>
  </r>
  <r>
    <x v="120"/>
    <x v="0"/>
    <x v="3"/>
    <s v="Salary"/>
    <s v="Salary - Mahesh"/>
    <m/>
    <n v="148000"/>
  </r>
  <r>
    <x v="120"/>
    <x v="6"/>
    <x v="2"/>
    <m/>
    <s v="Ammi - S - Travel"/>
    <n v="3000"/>
    <m/>
  </r>
  <r>
    <x v="120"/>
    <x v="6"/>
    <x v="0"/>
    <m/>
    <s v="Dinner"/>
    <n v="1708"/>
    <m/>
  </r>
  <r>
    <x v="120"/>
    <x v="6"/>
    <x v="12"/>
    <m/>
    <s v="Utility Bills - Telephone"/>
    <n v="3487.31"/>
    <m/>
  </r>
  <r>
    <x v="120"/>
    <x v="6"/>
    <x v="9"/>
    <m/>
    <s v="Interest - Ammi S"/>
    <n v="10500"/>
    <m/>
  </r>
  <r>
    <x v="121"/>
    <x v="6"/>
    <x v="15"/>
    <m/>
    <s v="Class Fees - Sinhala"/>
    <n v="1000"/>
    <m/>
  </r>
  <r>
    <x v="121"/>
    <x v="6"/>
    <x v="11"/>
    <m/>
    <s v="Loan Me Arrears -Part 2"/>
    <n v="10000"/>
    <m/>
  </r>
  <r>
    <x v="121"/>
    <x v="6"/>
    <x v="9"/>
    <m/>
    <s v="Gold Loan Interest - LB"/>
    <n v="11500"/>
    <m/>
  </r>
  <r>
    <x v="120"/>
    <x v="6"/>
    <x v="2"/>
    <m/>
    <s v="Weekly Travelling - Shalini"/>
    <n v="1500"/>
    <m/>
  </r>
  <r>
    <x v="120"/>
    <x v="6"/>
    <x v="0"/>
    <m/>
    <s v="Weelky Food - Mahesh"/>
    <n v="900"/>
    <m/>
  </r>
  <r>
    <x v="120"/>
    <x v="6"/>
    <x v="2"/>
    <m/>
    <s v="Weekly Travelling - Mahesh"/>
    <n v="580"/>
    <m/>
  </r>
  <r>
    <x v="121"/>
    <x v="6"/>
    <x v="11"/>
    <m/>
    <s v="SMIB - Loans"/>
    <n v="57000"/>
    <m/>
  </r>
  <r>
    <x v="121"/>
    <x v="6"/>
    <x v="11"/>
    <m/>
    <s v="CDB - Vezel - Arrears"/>
    <n v="30000"/>
    <m/>
  </r>
  <r>
    <x v="121"/>
    <x v="6"/>
    <x v="2"/>
    <m/>
    <s v="Class Travel - Sinhala"/>
    <n v="905"/>
    <m/>
  </r>
  <r>
    <x v="121"/>
    <x v="6"/>
    <x v="5"/>
    <m/>
    <s v="Mid Week Home Foods"/>
    <n v="8900"/>
    <m/>
  </r>
  <r>
    <x v="122"/>
    <x v="6"/>
    <x v="0"/>
    <m/>
    <s v="Lunch"/>
    <n v="400"/>
    <m/>
  </r>
  <r>
    <x v="122"/>
    <x v="6"/>
    <x v="2"/>
    <m/>
    <s v="School Threewil"/>
    <n v="1500"/>
    <m/>
  </r>
  <r>
    <x v="122"/>
    <x v="6"/>
    <x v="4"/>
    <m/>
    <s v="Anty (8 * 800)+400"/>
    <n v="6800"/>
    <m/>
  </r>
  <r>
    <x v="123"/>
    <x v="6"/>
    <x v="5"/>
    <m/>
    <s v="Weekly Home Foods"/>
    <n v="7126.5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37240B-7176-462D-A05B-C8EE26EDF347}" name="IncomeMonthly" cacheId="59" applyNumberFormats="0" applyBorderFormats="0" applyFontFormats="0" applyPatternFormats="0" applyAlignmentFormats="0" applyWidthHeightFormats="1" dataCaption="Values" tag="0235e697-d0d1-4ff8-a7f4-0f1a8823c0c6" updatedVersion="8" minRefreshableVersion="5" subtotalHiddenItems="1" itemPrintTitles="1" createdVersion="8" indent="0" outline="1" outlineData="1" multipleFieldFilters="0" chartFormat="31">
  <location ref="A26:H33" firstHeaderRow="1" firstDataRow="3" firstDataCol="1"/>
  <pivotFields count="5">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 axis="axisCol"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1">
    <field x="0"/>
  </rowFields>
  <rowItems count="5">
    <i>
      <x/>
    </i>
    <i>
      <x v="1"/>
    </i>
    <i>
      <x v="3"/>
    </i>
    <i>
      <x v="2"/>
    </i>
    <i t="grand">
      <x/>
    </i>
  </rowItems>
  <colFields count="2">
    <field x="3"/>
    <field x="2"/>
  </colFields>
  <colItems count="7">
    <i>
      <x/>
    </i>
    <i>
      <x v="1"/>
    </i>
    <i>
      <x v="2"/>
    </i>
    <i>
      <x v="3"/>
    </i>
    <i>
      <x v="4"/>
    </i>
    <i>
      <x v="5"/>
    </i>
    <i t="grand">
      <x/>
    </i>
  </colItems>
  <dataFields count="1">
    <dataField name="Sum of Income" fld="1" baseField="0" baseItem="0" numFmtId="164"/>
  </dataFields>
  <formats count="1">
    <format dxfId="40">
      <pivotArea outline="0" collapsedLevelsAreSubtotals="1" fieldPosition="0"/>
    </format>
  </formats>
  <chartFormats count="11">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0"/>
          </reference>
          <reference field="3" count="1" selected="0">
            <x v="1"/>
          </reference>
        </references>
      </pivotArea>
    </chartFormat>
    <chartFormat chart="11" format="6">
      <pivotArea type="data" outline="0" fieldPosition="0">
        <references count="3">
          <reference field="4294967294" count="1" selected="0">
            <x v="0"/>
          </reference>
          <reference field="0" count="1" selected="0">
            <x v="2"/>
          </reference>
          <reference field="3" count="1" selected="0">
            <x v="0"/>
          </reference>
        </references>
      </pivotArea>
    </chartFormat>
    <chartFormat chart="11" format="7">
      <pivotArea type="data" outline="0" fieldPosition="0">
        <references count="3">
          <reference field="4294967294" count="1" selected="0">
            <x v="0"/>
          </reference>
          <reference field="0" count="1" selected="0">
            <x v="3"/>
          </reference>
          <reference field="3" count="1" selected="0">
            <x v="0"/>
          </reference>
        </references>
      </pivotArea>
    </chartFormat>
    <chartFormat chart="11" format="8">
      <pivotArea type="data" outline="0" fieldPosition="0">
        <references count="3">
          <reference field="4294967294" count="1" selected="0">
            <x v="0"/>
          </reference>
          <reference field="0" count="1" selected="0">
            <x v="0"/>
          </reference>
          <reference field="3" count="1" selected="0">
            <x v="0"/>
          </reference>
        </references>
      </pivotArea>
    </chartFormat>
    <chartFormat chart="11" format="9" series="1">
      <pivotArea type="data" outline="0" fieldPosition="0">
        <references count="2">
          <reference field="4294967294" count="1" selected="0">
            <x v="0"/>
          </reference>
          <reference field="3" count="1" selected="0">
            <x v="2"/>
          </reference>
        </references>
      </pivotArea>
    </chartFormat>
    <chartFormat chart="11" format="10" series="1">
      <pivotArea type="data" outline="0" fieldPosition="0">
        <references count="2">
          <reference field="4294967294" count="1" selected="0">
            <x v="0"/>
          </reference>
          <reference field="3" count="1" selected="0">
            <x v="3"/>
          </reference>
        </references>
      </pivotArea>
    </chartFormat>
    <chartFormat chart="11" format="11" series="1">
      <pivotArea type="data" outline="0" fieldPosition="0">
        <references count="2">
          <reference field="4294967294" count="1" selected="0">
            <x v="0"/>
          </reference>
          <reference field="3" count="1" selected="0">
            <x v="4"/>
          </reference>
        </references>
      </pivotArea>
    </chartFormat>
    <chartFormat chart="11" format="12" series="1">
      <pivotArea type="data" outline="0" fieldPosition="0">
        <references count="2">
          <reference field="4294967294" count="1" selected="0">
            <x v="0"/>
          </reference>
          <reference field="3" count="1" selected="0">
            <x v="5"/>
          </reference>
        </references>
      </pivotArea>
    </chartFormat>
  </chartFormats>
  <pivotHierarchies count="1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2">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Expens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3F9EEC-A454-4238-A7DB-5525D52F3344}" name="IncomeMonth" cacheId="65"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1">
  <location ref="K2:P10" firstHeaderRow="1" firstDataRow="2"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5">
    <i>
      <x/>
    </i>
    <i>
      <x v="1"/>
    </i>
    <i>
      <x v="3"/>
    </i>
    <i>
      <x v="2"/>
    </i>
    <i t="grand">
      <x/>
    </i>
  </colItems>
  <dataFields count="1">
    <dataField name="Sum of Income" fld="1" baseField="0" baseItem="0" numFmtId="164"/>
  </dataFields>
  <formats count="2">
    <format dxfId="42">
      <pivotArea outline="0" collapsedLevelsAreSubtotals="1" fieldPosition="0"/>
    </format>
    <format dxfId="41">
      <pivotArea dataOnly="0" labelOnly="1" outline="0" axis="axisValues" fieldPosition="0"/>
    </format>
  </formats>
  <chartFormats count="7">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2"/>
          </reference>
        </references>
      </pivotArea>
    </chartFormat>
    <chartFormat chart="2" format="5" series="1">
      <pivotArea type="data" outline="0" fieldPosition="0">
        <references count="2">
          <reference field="4294967294" count="1" selected="0">
            <x v="0"/>
          </reference>
          <reference field="2" count="1" selected="0">
            <x v="3"/>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2">
          <reference field="4294967294" count="1" selected="0">
            <x v="0"/>
          </reference>
          <reference field="2" count="1" selected="0">
            <x v="3"/>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s>
  <pivotHierarchies count="1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022036-894E-401F-95FF-5311156C07C5}" name="IncomeCategory" cacheId="53" applyNumberFormats="0" applyBorderFormats="0" applyFontFormats="0" applyPatternFormats="0" applyAlignmentFormats="0" applyWidthHeightFormats="1" dataCaption="Values" tag="37851145-e45a-4bb9-be13-803cdd0f02d9" updatedVersion="8" minRefreshableVersion="5" subtotalHiddenItems="1" itemPrintTitles="1" createdVersion="8" indent="0" outline="1" outlineData="1" multipleFieldFilters="0" chartFormat="10">
  <location ref="A16:B21"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3"/>
    </i>
    <i>
      <x v="2"/>
    </i>
    <i t="grand">
      <x/>
    </i>
  </rowItems>
  <colItems count="1">
    <i/>
  </colItems>
  <dataFields count="1">
    <dataField name="Income" fld="1" baseField="0" baseItem="0" numFmtId="164"/>
  </dataFields>
  <formats count="2">
    <format dxfId="44">
      <pivotArea outline="0" collapsedLevelsAreSubtotals="1" fieldPosition="0"/>
    </format>
    <format dxfId="43">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3"/>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Hierarchies count="1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Income"/>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Expens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D737D5-3C32-4149-BE47-6F8B7EFA83D6}" name="IncomeVsExpenses" cacheId="62" dataPosition="0" applyNumberFormats="0" applyBorderFormats="0" applyFontFormats="0" applyPatternFormats="0" applyAlignmentFormats="0" applyWidthHeightFormats="1" dataCaption="Values" tag="444facc9-2b96-4158-90bc-2f1d7079e8c4" updatedVersion="8" minRefreshableVersion="5" useAutoFormatting="1" subtotalHiddenItems="1" itemPrintTitles="1" createdVersion="8" indent="0" outline="1" outlineData="1" multipleFieldFilters="0" chartFormat="22">
  <location ref="A2:C9"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Income" fld="2" baseField="0" baseItem="0"/>
    <dataField name="Expense" fld="1" baseField="0" baseItem="0"/>
  </dataFields>
  <formats count="3">
    <format dxfId="47">
      <pivotArea dataOnly="0" grandCol="1" outline="0" axis="axisCol" fieldPosition="0"/>
    </format>
    <format dxfId="46">
      <pivotArea outline="0" collapsedLevelsAreSubtotals="1" fieldPosition="0"/>
    </format>
    <format dxfId="45">
      <pivotArea dataOnly="0" labelOnly="1" outline="0" fieldPosition="0">
        <references count="1">
          <reference field="4294967294" count="2">
            <x v="0"/>
            <x v="1"/>
          </reference>
        </references>
      </pivotArea>
    </format>
  </format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series="1">
      <pivotArea type="data" outline="0" fieldPosition="0">
        <references count="2">
          <reference field="4294967294" count="1" selected="0">
            <x v="1"/>
          </reference>
          <reference field="0" count="1" selected="0">
            <x v="0"/>
          </reference>
        </references>
      </pivotArea>
    </chartFormat>
    <chartFormat chart="5" format="7" series="1">
      <pivotArea type="data" outline="0" fieldPosition="0">
        <references count="2">
          <reference field="4294967294" count="1" selected="0">
            <x v="1"/>
          </reference>
          <reference field="0"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1"/>
          </reference>
        </references>
      </pivotArea>
    </chartFormat>
  </chartFormats>
  <pivotHierarchies count="1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Income"/>
    <pivotHierarchy dragToData="1" caption="Expense"/>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Expens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1C49E5-9B11-4509-8704-C0900C39596F}" name="IncomeMember" cacheId="56" applyNumberFormats="0" applyBorderFormats="0" applyFontFormats="0" applyPatternFormats="0" applyAlignmentFormats="0" applyWidthHeightFormats="1" dataCaption="Values" tag="43d76af9-b480-4f23-b232-a405b52521f1" updatedVersion="8" minRefreshableVersion="5" subtotalHiddenItems="1" itemPrintTitles="1" createdVersion="8" indent="0" outline="1" outlineData="1" multipleFieldFilters="0" chartFormat="13">
  <location ref="D16:E21" firstHeaderRow="1" firstDataRow="1" firstDataCol="1"/>
  <pivotFields count="3">
    <pivotField axis="axisRow" allDrilled="1" subtotalTop="0" showAll="0" defaultSubtotal="0" defaultAttributeDrillState="1">
      <items count="4">
        <item x="0"/>
        <item x="1"/>
        <item x="3"/>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Income" fld="1" baseField="0" baseItem="0" numFmtId="164"/>
  </dataFields>
  <formats count="1">
    <format dxfId="48">
      <pivotArea outline="0" collapsedLevelsAreSubtotals="1" fieldPosition="0"/>
    </format>
  </formats>
  <chartFormats count="2">
    <chartFormat chart="8"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Hierarchies count="1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Income"/>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Expens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37AF46-0CFD-4F29-9566-4EDBFF040D40}" name="ExpenseMonthly" cacheId="50"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9">
  <location ref="D41:K67" firstHeaderRow="1" firstDataRow="3" firstDataCol="1"/>
  <pivotFields count="5">
    <pivotField axis="axisRow" allDrilled="1" subtotalTop="0" showAll="0" defaultSubtotal="0" defaultAttributeDrillState="1">
      <items count="23">
        <item x="10"/>
        <item x="12"/>
        <item x="18"/>
        <item x="19"/>
        <item x="2"/>
        <item x="1"/>
        <item x="5"/>
        <item x="8"/>
        <item x="9"/>
        <item x="13"/>
        <item x="17"/>
        <item x="21"/>
        <item x="0"/>
        <item x="3"/>
        <item x="4"/>
        <item x="6"/>
        <item x="7"/>
        <item x="11"/>
        <item x="14"/>
        <item x="15"/>
        <item x="16"/>
        <item x="20"/>
        <item x="22"/>
      </items>
    </pivotField>
    <pivotField dataField="1" subtotalTop="0" showAll="0" defaultSubtotal="0"/>
    <pivotField axis="axisCol"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xis="axisCol"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2">
    <field x="3"/>
    <field x="2"/>
  </colFields>
  <colItems count="7">
    <i>
      <x/>
    </i>
    <i>
      <x v="1"/>
    </i>
    <i>
      <x v="2"/>
    </i>
    <i>
      <x v="3"/>
    </i>
    <i>
      <x v="4"/>
    </i>
    <i>
      <x v="5"/>
    </i>
    <i t="grand">
      <x/>
    </i>
  </colItems>
  <dataFields count="1">
    <dataField name="Sum of Expense" fld="1" baseField="0" baseItem="0" numFmtId="164"/>
  </dataFields>
  <formats count="6">
    <format dxfId="54">
      <pivotArea outline="0" collapsedLevelsAreSubtotals="1" fieldPosition="0"/>
    </format>
    <format dxfId="53">
      <pivotArea field="3" type="button" dataOnly="0" labelOnly="1" outline="0" axis="axisCol" fieldPosition="0"/>
    </format>
    <format dxfId="52">
      <pivotArea field="2" type="button" dataOnly="0" labelOnly="1" outline="0" axis="axisCol" fieldPosition="1"/>
    </format>
    <format dxfId="51">
      <pivotArea type="topRight" dataOnly="0" labelOnly="1" outline="0" fieldPosition="0"/>
    </format>
    <format dxfId="50">
      <pivotArea dataOnly="0" labelOnly="1" fieldPosition="0">
        <references count="1">
          <reference field="3" count="0"/>
        </references>
      </pivotArea>
    </format>
    <format dxfId="49">
      <pivotArea dataOnly="0" labelOnly="1" grandCol="1" outline="0" fieldPosition="0"/>
    </format>
  </formats>
  <chartFormats count="6">
    <chartFormat chart="28" format="71" series="1">
      <pivotArea type="data" outline="0" fieldPosition="0">
        <references count="2">
          <reference field="4294967294" count="1" selected="0">
            <x v="0"/>
          </reference>
          <reference field="3" count="1" selected="0">
            <x v="0"/>
          </reference>
        </references>
      </pivotArea>
    </chartFormat>
    <chartFormat chart="28" format="72" series="1">
      <pivotArea type="data" outline="0" fieldPosition="0">
        <references count="2">
          <reference field="4294967294" count="1" selected="0">
            <x v="0"/>
          </reference>
          <reference field="3" count="1" selected="0">
            <x v="1"/>
          </reference>
        </references>
      </pivotArea>
    </chartFormat>
    <chartFormat chart="28" format="73" series="1">
      <pivotArea type="data" outline="0" fieldPosition="0">
        <references count="2">
          <reference field="4294967294" count="1" selected="0">
            <x v="0"/>
          </reference>
          <reference field="3" count="1" selected="0">
            <x v="2"/>
          </reference>
        </references>
      </pivotArea>
    </chartFormat>
    <chartFormat chart="28" format="74" series="1">
      <pivotArea type="data" outline="0" fieldPosition="0">
        <references count="2">
          <reference field="4294967294" count="1" selected="0">
            <x v="0"/>
          </reference>
          <reference field="3" count="1" selected="0">
            <x v="3"/>
          </reference>
        </references>
      </pivotArea>
    </chartFormat>
    <chartFormat chart="28" format="75" series="1">
      <pivotArea type="data" outline="0" fieldPosition="0">
        <references count="2">
          <reference field="4294967294" count="1" selected="0">
            <x v="0"/>
          </reference>
          <reference field="3" count="1" selected="0">
            <x v="4"/>
          </reference>
        </references>
      </pivotArea>
    </chartFormat>
    <chartFormat chart="28" format="76" series="1">
      <pivotArea type="data" outline="0" fieldPosition="0">
        <references count="2">
          <reference field="4294967294" count="1" selected="0">
            <x v="0"/>
          </reference>
          <reference field="3" count="1" selected="0">
            <x v="5"/>
          </reference>
        </references>
      </pivotArea>
    </chartFormat>
  </chartFormat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2">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68B022-AB26-4982-9124-F0FD0BC3E3AE}" name="PivotTable1"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14:B115" firstHeaderRow="0" firstDataRow="1" firstDataCol="0" rowPageCount="1" colPageCount="1"/>
  <pivotFields count="9">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7"/>
        <item x="76"/>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axis="axisPage" showAll="0">
      <items count="8">
        <item x="0"/>
        <item x="5"/>
        <item x="4"/>
        <item x="1"/>
        <item x="3"/>
        <item x="2"/>
        <item x="6"/>
        <item t="default"/>
      </items>
    </pivotField>
    <pivotField showAll="0"/>
    <pivotField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pageFields count="1">
    <pageField fld="1" item="5" hier="-1"/>
  </pageFields>
  <dataFields count="2">
    <dataField name="Car Rent Income" fld="6" baseField="0" baseItem="0"/>
    <dataField name="Car Rent Expense" fld="5" baseField="0" baseItem="0"/>
  </dataFields>
  <formats count="1">
    <format dxfId="5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BBFC3F-62B6-4B36-ADA3-D58C20D509C0}" name="PivotTable2" cacheId="7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128:E136" firstHeaderRow="1" firstDataRow="2" firstDataCol="1"/>
  <pivotFields count="9">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7"/>
        <item x="76"/>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axis="axisCol" multipleItemSelectionAllowed="1" showAll="0">
      <items count="25">
        <item h="1" x="21"/>
        <item h="1" x="6"/>
        <item h="1" x="15"/>
        <item h="1" x="18"/>
        <item x="16"/>
        <item h="1" x="7"/>
        <item h="1" x="22"/>
        <item h="1" x="10"/>
        <item h="1" x="5"/>
        <item h="1" x="9"/>
        <item x="12"/>
        <item h="1" x="13"/>
        <item h="1" x="11"/>
        <item h="1" x="0"/>
        <item h="1" x="8"/>
        <item h="1" x="19"/>
        <item h="1" x="23"/>
        <item h="1" x="4"/>
        <item h="1" x="1"/>
        <item h="1" x="2"/>
        <item h="1" x="20"/>
        <item h="1" x="17"/>
        <item x="14"/>
        <item h="1" x="3"/>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7">
    <i>
      <x v="1"/>
    </i>
    <i>
      <x v="2"/>
    </i>
    <i>
      <x v="3"/>
    </i>
    <i>
      <x v="4"/>
    </i>
    <i>
      <x v="5"/>
    </i>
    <i>
      <x v="6"/>
    </i>
    <i t="grand">
      <x/>
    </i>
  </rowItems>
  <colFields count="1">
    <field x="2"/>
  </colFields>
  <colItems count="4">
    <i>
      <x v="4"/>
    </i>
    <i>
      <x v="10"/>
    </i>
    <i>
      <x v="22"/>
    </i>
    <i t="grand">
      <x/>
    </i>
  </colItems>
  <dataFields count="1">
    <dataField name="Sum of Expense" fld="5" baseField="0" baseItem="0" numFmtId="164"/>
  </dataFields>
  <formats count="1">
    <format dxfId="56">
      <pivotArea outline="0" collapsedLevelsAreSubtotals="1" fieldPosition="0"/>
    </format>
  </formats>
  <chartFormats count="17">
    <chartFormat chart="0" format="0" series="1">
      <pivotArea type="data" outline="0" fieldPosition="0">
        <references count="2">
          <reference field="4294967294" count="1" selected="0">
            <x v="0"/>
          </reference>
          <reference field="8" count="1" selected="0">
            <x v="1"/>
          </reference>
        </references>
      </pivotArea>
    </chartFormat>
    <chartFormat chart="0" format="1" series="1">
      <pivotArea type="data" outline="0" fieldPosition="0">
        <references count="2">
          <reference field="4294967294" count="1" selected="0">
            <x v="0"/>
          </reference>
          <reference field="8" count="1" selected="0">
            <x v="2"/>
          </reference>
        </references>
      </pivotArea>
    </chartFormat>
    <chartFormat chart="0" format="2" series="1">
      <pivotArea type="data" outline="0" fieldPosition="0">
        <references count="2">
          <reference field="4294967294" count="1" selected="0">
            <x v="0"/>
          </reference>
          <reference field="8" count="1" selected="0">
            <x v="3"/>
          </reference>
        </references>
      </pivotArea>
    </chartFormat>
    <chartFormat chart="0" format="3" series="1">
      <pivotArea type="data" outline="0" fieldPosition="0">
        <references count="2">
          <reference field="4294967294" count="1" selected="0">
            <x v="0"/>
          </reference>
          <reference field="8" count="1" selected="0">
            <x v="4"/>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10"/>
          </reference>
        </references>
      </pivotArea>
    </chartFormat>
    <chartFormat chart="0" format="6" series="1">
      <pivotArea type="data" outline="0" fieldPosition="0">
        <references count="2">
          <reference field="4294967294" count="1" selected="0">
            <x v="0"/>
          </reference>
          <reference field="2" count="1" selected="0">
            <x v="22"/>
          </reference>
        </references>
      </pivotArea>
    </chartFormat>
    <chartFormat chart="3" format="7" series="1">
      <pivotArea type="data" outline="0" fieldPosition="0">
        <references count="2">
          <reference field="4294967294" count="1" selected="0">
            <x v="0"/>
          </reference>
          <reference field="2" count="1" selected="0">
            <x v="4"/>
          </reference>
        </references>
      </pivotArea>
    </chartFormat>
    <chartFormat chart="3" format="8" series="1">
      <pivotArea type="data" outline="0" fieldPosition="0">
        <references count="2">
          <reference field="4294967294" count="1" selected="0">
            <x v="0"/>
          </reference>
          <reference field="2" count="1" selected="0">
            <x v="10"/>
          </reference>
        </references>
      </pivotArea>
    </chartFormat>
    <chartFormat chart="3" format="9" series="1">
      <pivotArea type="data" outline="0" fieldPosition="0">
        <references count="2">
          <reference field="4294967294" count="1" selected="0">
            <x v="0"/>
          </reference>
          <reference field="2" count="1" selected="0">
            <x v="22"/>
          </reference>
        </references>
      </pivotArea>
    </chartFormat>
    <chartFormat chart="4" format="10" series="1">
      <pivotArea type="data" outline="0" fieldPosition="0">
        <references count="2">
          <reference field="4294967294" count="1" selected="0">
            <x v="0"/>
          </reference>
          <reference field="2" count="1" selected="0">
            <x v="4"/>
          </reference>
        </references>
      </pivotArea>
    </chartFormat>
    <chartFormat chart="4" format="11" series="1">
      <pivotArea type="data" outline="0" fieldPosition="0">
        <references count="2">
          <reference field="4294967294" count="1" selected="0">
            <x v="0"/>
          </reference>
          <reference field="2" count="1" selected="0">
            <x v="10"/>
          </reference>
        </references>
      </pivotArea>
    </chartFormat>
    <chartFormat chart="4" format="12" series="1">
      <pivotArea type="data" outline="0" fieldPosition="0">
        <references count="2">
          <reference field="4294967294" count="1" selected="0">
            <x v="0"/>
          </reference>
          <reference field="2" count="1" selected="0">
            <x v="22"/>
          </reference>
        </references>
      </pivotArea>
    </chartFormat>
    <chartFormat chart="4" format="13" series="1">
      <pivotArea type="data" outline="0" fieldPosition="0">
        <references count="2">
          <reference field="4294967294" count="1" selected="0">
            <x v="0"/>
          </reference>
          <reference field="8" count="1" selected="0">
            <x v="4"/>
          </reference>
        </references>
      </pivotArea>
    </chartFormat>
    <chartFormat chart="4" format="14" series="1">
      <pivotArea type="data" outline="0" fieldPosition="0">
        <references count="2">
          <reference field="4294967294" count="1" selected="0">
            <x v="0"/>
          </reference>
          <reference field="8" count="1" selected="0">
            <x v="1"/>
          </reference>
        </references>
      </pivotArea>
    </chartFormat>
    <chartFormat chart="4" format="15" series="1">
      <pivotArea type="data" outline="0" fieldPosition="0">
        <references count="2">
          <reference field="4294967294" count="1" selected="0">
            <x v="0"/>
          </reference>
          <reference field="8" count="1" selected="0">
            <x v="2"/>
          </reference>
        </references>
      </pivotArea>
    </chartFormat>
    <chartFormat chart="4" format="16"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B3F1EA-1DB3-4C7E-ADED-5EA224334168}" name="ExpenseDays" cacheId="68"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6">
  <location ref="A100:Y108" firstHeaderRow="1" firstDataRow="2" firstDataCol="1"/>
  <pivotFields count="5">
    <pivotField axis="axisCol" allDrilled="1" subtotalTop="0" showAll="0" defaultSubtotal="0" defaultAttributeDrillState="1">
      <items count="23">
        <item x="13"/>
        <item x="19"/>
        <item x="4"/>
        <item x="22"/>
        <item x="7"/>
        <item x="10"/>
        <item x="1"/>
        <item x="2"/>
        <item x="14"/>
        <item x="3"/>
        <item x="5"/>
        <item x="18"/>
        <item x="17"/>
        <item x="21"/>
        <item x="8"/>
        <item x="9"/>
        <item x="11"/>
        <item x="12"/>
        <item x="20"/>
        <item x="0"/>
        <item x="6"/>
        <item x="15"/>
        <item x="16"/>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2">
    <field x="3"/>
    <field x="2"/>
  </rowFields>
  <rowItems count="7">
    <i>
      <x/>
    </i>
    <i>
      <x v="1"/>
    </i>
    <i>
      <x v="2"/>
    </i>
    <i>
      <x v="3"/>
    </i>
    <i>
      <x v="4"/>
    </i>
    <i>
      <x v="5"/>
    </i>
    <i t="grand">
      <x/>
    </i>
  </rowItems>
  <colFields count="1">
    <field x="0"/>
  </colFields>
  <colItems count="24">
    <i>
      <x/>
    </i>
    <i>
      <x v="1"/>
    </i>
    <i>
      <x v="2"/>
    </i>
    <i>
      <x v="3"/>
    </i>
    <i>
      <x v="4"/>
    </i>
    <i>
      <x v="5"/>
    </i>
    <i>
      <x v="6"/>
    </i>
    <i>
      <x v="7"/>
    </i>
    <i>
      <x v="8"/>
    </i>
    <i>
      <x v="9"/>
    </i>
    <i>
      <x v="10"/>
    </i>
    <i>
      <x v="11"/>
    </i>
    <i>
      <x v="12"/>
    </i>
    <i>
      <x v="13"/>
    </i>
    <i>
      <x v="14"/>
    </i>
    <i>
      <x v="15"/>
    </i>
    <i>
      <x v="16"/>
    </i>
    <i>
      <x v="17"/>
    </i>
    <i>
      <x v="18"/>
    </i>
    <i>
      <x v="19"/>
    </i>
    <i>
      <x v="20"/>
    </i>
    <i>
      <x v="21"/>
    </i>
    <i>
      <x v="22"/>
    </i>
    <i t="grand">
      <x/>
    </i>
  </colItems>
  <dataFields count="1">
    <dataField name="Sum of Expense" fld="1" baseField="0" baseItem="0" numFmtId="164"/>
  </dataFields>
  <formats count="3">
    <format dxfId="59">
      <pivotArea outline="0" collapsedLevelsAreSubtotals="1" fieldPosition="0"/>
    </format>
    <format dxfId="58">
      <pivotArea dataOnly="0" labelOnly="1" fieldPosition="0">
        <references count="1">
          <reference field="0" count="0"/>
        </references>
      </pivotArea>
    </format>
    <format dxfId="57">
      <pivotArea dataOnly="0" labelOnly="1" grandCol="1" outline="0" fieldPosition="0"/>
    </format>
  </formats>
  <chartFormats count="67">
    <chartFormat chart="75" format="136" series="1">
      <pivotArea type="data" outline="0" fieldPosition="0">
        <references count="2">
          <reference field="4294967294" count="1" selected="0">
            <x v="0"/>
          </reference>
          <reference field="0" count="1" selected="0">
            <x v="1048832"/>
          </reference>
        </references>
      </pivotArea>
    </chartFormat>
    <chartFormat chart="75" format="137" series="1">
      <pivotArea type="data" outline="0" fieldPosition="0">
        <references count="2">
          <reference field="4294967294" count="1" selected="0">
            <x v="0"/>
          </reference>
          <reference field="0" count="1" selected="0">
            <x v="7"/>
          </reference>
        </references>
      </pivotArea>
    </chartFormat>
    <chartFormat chart="75" format="138" series="1">
      <pivotArea type="data" outline="0" fieldPosition="0">
        <references count="2">
          <reference field="4294967294" count="1" selected="0">
            <x v="0"/>
          </reference>
          <reference field="0" count="1" selected="0">
            <x v="11"/>
          </reference>
        </references>
      </pivotArea>
    </chartFormat>
    <chartFormat chart="75" format="139" series="1">
      <pivotArea type="data" outline="0" fieldPosition="0">
        <references count="2">
          <reference field="4294967294" count="1" selected="0">
            <x v="0"/>
          </reference>
          <reference field="0" count="1" selected="0">
            <x v="6"/>
          </reference>
        </references>
      </pivotArea>
    </chartFormat>
    <chartFormat chart="75" format="140" series="1">
      <pivotArea type="data" outline="0" fieldPosition="0">
        <references count="2">
          <reference field="4294967294" count="1" selected="0">
            <x v="0"/>
          </reference>
          <reference field="0" count="1" selected="0">
            <x v="10"/>
          </reference>
        </references>
      </pivotArea>
    </chartFormat>
    <chartFormat chart="75" format="141" series="1">
      <pivotArea type="data" outline="0" fieldPosition="0">
        <references count="2">
          <reference field="4294967294" count="1" selected="0">
            <x v="0"/>
          </reference>
          <reference field="0" count="1" selected="0">
            <x v="4"/>
          </reference>
        </references>
      </pivotArea>
    </chartFormat>
    <chartFormat chart="75" format="142" series="1">
      <pivotArea type="data" outline="0" fieldPosition="0">
        <references count="2">
          <reference field="4294967294" count="1" selected="0">
            <x v="0"/>
          </reference>
          <reference field="0" count="1" selected="0">
            <x v="3"/>
          </reference>
        </references>
      </pivotArea>
    </chartFormat>
    <chartFormat chart="75" format="143" series="1">
      <pivotArea type="data" outline="0" fieldPosition="0">
        <references count="2">
          <reference field="4294967294" count="1" selected="0">
            <x v="0"/>
          </reference>
          <reference field="0" count="1" selected="0">
            <x v="2"/>
          </reference>
        </references>
      </pivotArea>
    </chartFormat>
    <chartFormat chart="75" format="144" series="1">
      <pivotArea type="data" outline="0" fieldPosition="0">
        <references count="2">
          <reference field="4294967294" count="1" selected="0">
            <x v="0"/>
          </reference>
          <reference field="0" count="1" selected="0">
            <x v="0"/>
          </reference>
        </references>
      </pivotArea>
    </chartFormat>
    <chartFormat chart="75" format="145" series="1">
      <pivotArea type="data" outline="0" fieldPosition="0">
        <references count="2">
          <reference field="4294967294" count="1" selected="0">
            <x v="0"/>
          </reference>
          <reference field="0" count="1" selected="0">
            <x v="8"/>
          </reference>
        </references>
      </pivotArea>
    </chartFormat>
    <chartFormat chart="75" format="146" series="1">
      <pivotArea type="data" outline="0" fieldPosition="0">
        <references count="2">
          <reference field="4294967294" count="1" selected="0">
            <x v="0"/>
          </reference>
          <reference field="0" count="1" selected="0">
            <x v="5"/>
          </reference>
        </references>
      </pivotArea>
    </chartFormat>
    <chartFormat chart="75" format="147" series="1">
      <pivotArea type="data" outline="0" fieldPosition="0">
        <references count="2">
          <reference field="4294967294" count="1" selected="0">
            <x v="0"/>
          </reference>
          <reference field="0" count="1" selected="0">
            <x v="13"/>
          </reference>
        </references>
      </pivotArea>
    </chartFormat>
    <chartFormat chart="75" format="148" series="1">
      <pivotArea type="data" outline="0" fieldPosition="0">
        <references count="2">
          <reference field="4294967294" count="1" selected="0">
            <x v="0"/>
          </reference>
          <reference field="0" count="1" selected="0">
            <x v="1048832"/>
          </reference>
        </references>
      </pivotArea>
    </chartFormat>
    <chartFormat chart="75" format="150" series="1">
      <pivotArea type="data" outline="0" fieldPosition="0">
        <references count="2">
          <reference field="4294967294" count="1" selected="0">
            <x v="0"/>
          </reference>
          <reference field="0" count="1" selected="0">
            <x v="12"/>
          </reference>
        </references>
      </pivotArea>
    </chartFormat>
    <chartFormat chart="75" format="151" series="1">
      <pivotArea type="data" outline="0" fieldPosition="0">
        <references count="2">
          <reference field="4294967294" count="1" selected="0">
            <x v="0"/>
          </reference>
          <reference field="0" count="1" selected="0">
            <x v="1048832"/>
          </reference>
        </references>
      </pivotArea>
    </chartFormat>
    <chartFormat chart="75" format="152" series="1">
      <pivotArea type="data" outline="0" fieldPosition="0">
        <references count="2">
          <reference field="4294967294" count="1" selected="0">
            <x v="0"/>
          </reference>
          <reference field="0" count="1" selected="0">
            <x v="1"/>
          </reference>
        </references>
      </pivotArea>
    </chartFormat>
    <chartFormat chart="75" format="153" series="1">
      <pivotArea type="data" outline="0" fieldPosition="0">
        <references count="2">
          <reference field="4294967294" count="1" selected="0">
            <x v="0"/>
          </reference>
          <reference field="0" count="1" selected="0">
            <x v="1048832"/>
          </reference>
        </references>
      </pivotArea>
    </chartFormat>
    <chartFormat chart="75" format="154" series="1">
      <pivotArea type="data" outline="0" fieldPosition="0">
        <references count="2">
          <reference field="4294967294" count="1" selected="0">
            <x v="0"/>
          </reference>
          <reference field="0" count="1" selected="0">
            <x v="1048832"/>
          </reference>
        </references>
      </pivotArea>
    </chartFormat>
    <chartFormat chart="75" format="155" series="1">
      <pivotArea type="data" outline="0" fieldPosition="0">
        <references count="2">
          <reference field="4294967294" count="1" selected="0">
            <x v="0"/>
          </reference>
          <reference field="0" count="1" selected="0">
            <x v="9"/>
          </reference>
        </references>
      </pivotArea>
    </chartFormat>
    <chartFormat chart="75" format="156" series="1">
      <pivotArea type="data" outline="0" fieldPosition="0">
        <references count="2">
          <reference field="4294967294" count="1" selected="0">
            <x v="0"/>
          </reference>
          <reference field="0" count="1" selected="0">
            <x v="1048832"/>
          </reference>
        </references>
      </pivotArea>
    </chartFormat>
    <chartFormat chart="75" format="157" series="1">
      <pivotArea type="data" outline="0" fieldPosition="0">
        <references count="2">
          <reference field="4294967294" count="1" selected="0">
            <x v="0"/>
          </reference>
          <reference field="0" count="1" selected="0">
            <x v="14"/>
          </reference>
        </references>
      </pivotArea>
    </chartFormat>
    <chartFormat chart="75" format="158" series="1">
      <pivotArea type="data" outline="0" fieldPosition="0">
        <references count="2">
          <reference field="4294967294" count="1" selected="0">
            <x v="0"/>
          </reference>
          <reference field="0" count="1" selected="0">
            <x v="15"/>
          </reference>
        </references>
      </pivotArea>
    </chartFormat>
    <chartFormat chart="75" format="159" series="1">
      <pivotArea type="data" outline="0" fieldPosition="0">
        <references count="2">
          <reference field="4294967294" count="1" selected="0">
            <x v="0"/>
          </reference>
          <reference field="0" count="1" selected="0">
            <x v="16"/>
          </reference>
        </references>
      </pivotArea>
    </chartFormat>
    <chartFormat chart="75" format="160" series="1">
      <pivotArea type="data" outline="0" fieldPosition="0">
        <references count="2">
          <reference field="4294967294" count="1" selected="0">
            <x v="0"/>
          </reference>
          <reference field="0" count="1" selected="0">
            <x v="17"/>
          </reference>
        </references>
      </pivotArea>
    </chartFormat>
    <chartFormat chart="75" format="161" series="1">
      <pivotArea type="data" outline="0" fieldPosition="0">
        <references count="2">
          <reference field="4294967294" count="1" selected="0">
            <x v="0"/>
          </reference>
          <reference field="0" count="1" selected="0">
            <x v="18"/>
          </reference>
        </references>
      </pivotArea>
    </chartFormat>
    <chartFormat chart="4" format="162" series="1">
      <pivotArea type="data" outline="0" fieldPosition="0">
        <references count="2">
          <reference field="4294967294" count="1" selected="0">
            <x v="0"/>
          </reference>
          <reference field="0" count="1" selected="0">
            <x v="0"/>
          </reference>
        </references>
      </pivotArea>
    </chartFormat>
    <chartFormat chart="4" format="163" series="1">
      <pivotArea type="data" outline="0" fieldPosition="0">
        <references count="2">
          <reference field="4294967294" count="1" selected="0">
            <x v="0"/>
          </reference>
          <reference field="0" count="1" selected="0">
            <x v="4"/>
          </reference>
        </references>
      </pivotArea>
    </chartFormat>
    <chartFormat chart="4" format="164" series="1">
      <pivotArea type="data" outline="0" fieldPosition="0">
        <references count="2">
          <reference field="4294967294" count="1" selected="0">
            <x v="0"/>
          </reference>
          <reference field="0" count="1" selected="0">
            <x v="14"/>
          </reference>
        </references>
      </pivotArea>
    </chartFormat>
    <chartFormat chart="5" format="165" series="1">
      <pivotArea type="data" outline="0" fieldPosition="0">
        <references count="2">
          <reference field="4294967294" count="1" selected="0">
            <x v="0"/>
          </reference>
          <reference field="0" count="1" selected="0">
            <x v="0"/>
          </reference>
        </references>
      </pivotArea>
    </chartFormat>
    <chartFormat chart="5" format="166" series="1">
      <pivotArea type="data" outline="0" fieldPosition="0">
        <references count="2">
          <reference field="4294967294" count="1" selected="0">
            <x v="0"/>
          </reference>
          <reference field="0" count="1" selected="0">
            <x v="4"/>
          </reference>
        </references>
      </pivotArea>
    </chartFormat>
    <chartFormat chart="5" format="167" series="1">
      <pivotArea type="data" outline="0" fieldPosition="0">
        <references count="2">
          <reference field="4294967294" count="1" selected="0">
            <x v="0"/>
          </reference>
          <reference field="0" count="1" selected="0">
            <x v="14"/>
          </reference>
        </references>
      </pivotArea>
    </chartFormat>
    <chartFormat chart="5" format="168" series="1">
      <pivotArea type="data" outline="0" fieldPosition="0">
        <references count="2">
          <reference field="4294967294" count="1" selected="0">
            <x v="0"/>
          </reference>
          <reference field="0" count="1" selected="0">
            <x v="3"/>
          </reference>
        </references>
      </pivotArea>
    </chartFormat>
    <chartFormat chart="5" format="169" series="1">
      <pivotArea type="data" outline="0" fieldPosition="0">
        <references count="2">
          <reference field="4294967294" count="1" selected="0">
            <x v="0"/>
          </reference>
          <reference field="0" count="1" selected="0">
            <x v="5"/>
          </reference>
        </references>
      </pivotArea>
    </chartFormat>
    <chartFormat chart="5" format="170" series="1">
      <pivotArea type="data" outline="0" fieldPosition="0">
        <references count="2">
          <reference field="4294967294" count="1" selected="0">
            <x v="0"/>
          </reference>
          <reference field="0" count="1" selected="0">
            <x v="6"/>
          </reference>
        </references>
      </pivotArea>
    </chartFormat>
    <chartFormat chart="5" format="171" series="1">
      <pivotArea type="data" outline="0" fieldPosition="0">
        <references count="2">
          <reference field="4294967294" count="1" selected="0">
            <x v="0"/>
          </reference>
          <reference field="0" count="1" selected="0">
            <x v="7"/>
          </reference>
        </references>
      </pivotArea>
    </chartFormat>
    <chartFormat chart="5" format="172" series="1">
      <pivotArea type="data" outline="0" fieldPosition="0">
        <references count="2">
          <reference field="4294967294" count="1" selected="0">
            <x v="0"/>
          </reference>
          <reference field="0" count="1" selected="0">
            <x v="8"/>
          </reference>
        </references>
      </pivotArea>
    </chartFormat>
    <chartFormat chart="5" format="173" series="1">
      <pivotArea type="data" outline="0" fieldPosition="0">
        <references count="2">
          <reference field="4294967294" count="1" selected="0">
            <x v="0"/>
          </reference>
          <reference field="0" count="1" selected="0">
            <x v="9"/>
          </reference>
        </references>
      </pivotArea>
    </chartFormat>
    <chartFormat chart="5" format="174" series="1">
      <pivotArea type="data" outline="0" fieldPosition="0">
        <references count="2">
          <reference field="4294967294" count="1" selected="0">
            <x v="0"/>
          </reference>
          <reference field="0" count="1" selected="0">
            <x v="10"/>
          </reference>
        </references>
      </pivotArea>
    </chartFormat>
    <chartFormat chart="5" format="175" series="1">
      <pivotArea type="data" outline="0" fieldPosition="0">
        <references count="2">
          <reference field="4294967294" count="1" selected="0">
            <x v="0"/>
          </reference>
          <reference field="0" count="1" selected="0">
            <x v="11"/>
          </reference>
        </references>
      </pivotArea>
    </chartFormat>
    <chartFormat chart="5" format="176" series="1">
      <pivotArea type="data" outline="0" fieldPosition="0">
        <references count="2">
          <reference field="4294967294" count="1" selected="0">
            <x v="0"/>
          </reference>
          <reference field="0" count="1" selected="0">
            <x v="12"/>
          </reference>
        </references>
      </pivotArea>
    </chartFormat>
    <chartFormat chart="5" format="177" series="1">
      <pivotArea type="data" outline="0" fieldPosition="0">
        <references count="2">
          <reference field="4294967294" count="1" selected="0">
            <x v="0"/>
          </reference>
          <reference field="0" count="1" selected="0">
            <x v="13"/>
          </reference>
        </references>
      </pivotArea>
    </chartFormat>
    <chartFormat chart="5" format="178" series="1">
      <pivotArea type="data" outline="0" fieldPosition="0">
        <references count="2">
          <reference field="4294967294" count="1" selected="0">
            <x v="0"/>
          </reference>
          <reference field="0" count="1" selected="0">
            <x v="15"/>
          </reference>
        </references>
      </pivotArea>
    </chartFormat>
    <chartFormat chart="5" format="179" series="1">
      <pivotArea type="data" outline="0" fieldPosition="0">
        <references count="2">
          <reference field="4294967294" count="1" selected="0">
            <x v="0"/>
          </reference>
          <reference field="0" count="1" selected="0">
            <x v="16"/>
          </reference>
        </references>
      </pivotArea>
    </chartFormat>
    <chartFormat chart="5" format="180" series="1">
      <pivotArea type="data" outline="0" fieldPosition="0">
        <references count="2">
          <reference field="4294967294" count="1" selected="0">
            <x v="0"/>
          </reference>
          <reference field="0" count="1" selected="0">
            <x v="17"/>
          </reference>
        </references>
      </pivotArea>
    </chartFormat>
    <chartFormat chart="5" format="181" series="1">
      <pivotArea type="data" outline="0" fieldPosition="0">
        <references count="2">
          <reference field="4294967294" count="1" selected="0">
            <x v="0"/>
          </reference>
          <reference field="0" count="1" selected="0">
            <x v="18"/>
          </reference>
        </references>
      </pivotArea>
    </chartFormat>
    <chartFormat chart="5" format="182" series="1">
      <pivotArea type="data" outline="0" fieldPosition="0">
        <references count="2">
          <reference field="4294967294" count="1" selected="0">
            <x v="0"/>
          </reference>
          <reference field="0" count="1" selected="0">
            <x v="1"/>
          </reference>
        </references>
      </pivotArea>
    </chartFormat>
    <chartFormat chart="5" format="183" series="1">
      <pivotArea type="data" outline="0" fieldPosition="0">
        <references count="2">
          <reference field="4294967294" count="1" selected="0">
            <x v="0"/>
          </reference>
          <reference field="0" count="1" selected="0">
            <x v="2"/>
          </reference>
        </references>
      </pivotArea>
    </chartFormat>
    <chartFormat chart="4" format="165" series="1">
      <pivotArea type="data" outline="0" fieldPosition="0">
        <references count="2">
          <reference field="4294967294" count="1" selected="0">
            <x v="0"/>
          </reference>
          <reference field="0" count="1" selected="0">
            <x v="3"/>
          </reference>
        </references>
      </pivotArea>
    </chartFormat>
    <chartFormat chart="4" format="166" series="1">
      <pivotArea type="data" outline="0" fieldPosition="0">
        <references count="2">
          <reference field="4294967294" count="1" selected="0">
            <x v="0"/>
          </reference>
          <reference field="0" count="1" selected="0">
            <x v="5"/>
          </reference>
        </references>
      </pivotArea>
    </chartFormat>
    <chartFormat chart="4" format="167" series="1">
      <pivotArea type="data" outline="0" fieldPosition="0">
        <references count="2">
          <reference field="4294967294" count="1" selected="0">
            <x v="0"/>
          </reference>
          <reference field="0" count="1" selected="0">
            <x v="6"/>
          </reference>
        </references>
      </pivotArea>
    </chartFormat>
    <chartFormat chart="4" format="168" series="1">
      <pivotArea type="data" outline="0" fieldPosition="0">
        <references count="2">
          <reference field="4294967294" count="1" selected="0">
            <x v="0"/>
          </reference>
          <reference field="0" count="1" selected="0">
            <x v="7"/>
          </reference>
        </references>
      </pivotArea>
    </chartFormat>
    <chartFormat chart="4" format="169" series="1">
      <pivotArea type="data" outline="0" fieldPosition="0">
        <references count="2">
          <reference field="4294967294" count="1" selected="0">
            <x v="0"/>
          </reference>
          <reference field="0" count="1" selected="0">
            <x v="8"/>
          </reference>
        </references>
      </pivotArea>
    </chartFormat>
    <chartFormat chart="4" format="170" series="1">
      <pivotArea type="data" outline="0" fieldPosition="0">
        <references count="2">
          <reference field="4294967294" count="1" selected="0">
            <x v="0"/>
          </reference>
          <reference field="0" count="1" selected="0">
            <x v="9"/>
          </reference>
        </references>
      </pivotArea>
    </chartFormat>
    <chartFormat chart="4" format="171" series="1">
      <pivotArea type="data" outline="0" fieldPosition="0">
        <references count="2">
          <reference field="4294967294" count="1" selected="0">
            <x v="0"/>
          </reference>
          <reference field="0" count="1" selected="0">
            <x v="10"/>
          </reference>
        </references>
      </pivotArea>
    </chartFormat>
    <chartFormat chart="4" format="172" series="1">
      <pivotArea type="data" outline="0" fieldPosition="0">
        <references count="2">
          <reference field="4294967294" count="1" selected="0">
            <x v="0"/>
          </reference>
          <reference field="0" count="1" selected="0">
            <x v="11"/>
          </reference>
        </references>
      </pivotArea>
    </chartFormat>
    <chartFormat chart="4" format="173" series="1">
      <pivotArea type="data" outline="0" fieldPosition="0">
        <references count="2">
          <reference field="4294967294" count="1" selected="0">
            <x v="0"/>
          </reference>
          <reference field="0" count="1" selected="0">
            <x v="12"/>
          </reference>
        </references>
      </pivotArea>
    </chartFormat>
    <chartFormat chart="4" format="174" series="1">
      <pivotArea type="data" outline="0" fieldPosition="0">
        <references count="2">
          <reference field="4294967294" count="1" selected="0">
            <x v="0"/>
          </reference>
          <reference field="0" count="1" selected="0">
            <x v="13"/>
          </reference>
        </references>
      </pivotArea>
    </chartFormat>
    <chartFormat chart="4" format="175" series="1">
      <pivotArea type="data" outline="0" fieldPosition="0">
        <references count="2">
          <reference field="4294967294" count="1" selected="0">
            <x v="0"/>
          </reference>
          <reference field="0" count="1" selected="0">
            <x v="15"/>
          </reference>
        </references>
      </pivotArea>
    </chartFormat>
    <chartFormat chart="4" format="176" series="1">
      <pivotArea type="data" outline="0" fieldPosition="0">
        <references count="2">
          <reference field="4294967294" count="1" selected="0">
            <x v="0"/>
          </reference>
          <reference field="0" count="1" selected="0">
            <x v="16"/>
          </reference>
        </references>
      </pivotArea>
    </chartFormat>
    <chartFormat chart="4" format="177" series="1">
      <pivotArea type="data" outline="0" fieldPosition="0">
        <references count="2">
          <reference field="4294967294" count="1" selected="0">
            <x v="0"/>
          </reference>
          <reference field="0" count="1" selected="0">
            <x v="17"/>
          </reference>
        </references>
      </pivotArea>
    </chartFormat>
    <chartFormat chart="4" format="178" series="1">
      <pivotArea type="data" outline="0" fieldPosition="0">
        <references count="2">
          <reference field="4294967294" count="1" selected="0">
            <x v="0"/>
          </reference>
          <reference field="0" count="1" selected="0">
            <x v="18"/>
          </reference>
        </references>
      </pivotArea>
    </chartFormat>
    <chartFormat chart="4" format="179" series="1">
      <pivotArea type="data" outline="0" fieldPosition="0">
        <references count="2">
          <reference field="4294967294" count="1" selected="0">
            <x v="0"/>
          </reference>
          <reference field="0" count="1" selected="0">
            <x v="1"/>
          </reference>
        </references>
      </pivotArea>
    </chartFormat>
    <chartFormat chart="4" format="180" series="1">
      <pivotArea type="data" outline="0" fieldPosition="0">
        <references count="2">
          <reference field="4294967294" count="1" selected="0">
            <x v="0"/>
          </reference>
          <reference field="0" count="1" selected="0">
            <x v="2"/>
          </reference>
        </references>
      </pivotArea>
    </chartFormat>
    <chartFormat chart="75" format="162" series="1">
      <pivotArea type="data" outline="0" fieldPosition="0">
        <references count="2">
          <reference field="4294967294" count="1" selected="0">
            <x v="0"/>
          </reference>
          <reference field="0" count="1" selected="0">
            <x v="19"/>
          </reference>
        </references>
      </pivotArea>
    </chartFormat>
    <chartFormat chart="75" format="165" series="1">
      <pivotArea type="data" outline="0" fieldPosition="0">
        <references count="2">
          <reference field="4294967294" count="1" selected="0">
            <x v="0"/>
          </reference>
          <reference field="0" count="1" selected="0">
            <x v="20"/>
          </reference>
        </references>
      </pivotArea>
    </chartFormat>
    <chartFormat chart="75" format="166" series="1">
      <pivotArea type="data" outline="0" fieldPosition="0">
        <references count="2">
          <reference field="4294967294" count="1" selected="0">
            <x v="0"/>
          </reference>
          <reference field="0" count="1" selected="0">
            <x v="21"/>
          </reference>
        </references>
      </pivotArea>
    </chartFormat>
    <chartFormat chart="75" format="167" series="1">
      <pivotArea type="data" outline="0" fieldPosition="0">
        <references count="2">
          <reference field="4294967294" count="1" selected="0">
            <x v="0"/>
          </reference>
          <reference field="0" count="1" selected="0">
            <x v="22"/>
          </reference>
        </references>
      </pivotArea>
    </chartFormat>
  </chartFormat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52017C-2DA8-44FF-AEAF-1896CC8E3302}" name="ExpenseCategory" cacheId="47"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7">
  <location ref="A41:B65" firstHeaderRow="1" firstDataRow="1" firstDataCol="1"/>
  <pivotFields count="3">
    <pivotField dataField="1" subtotalTop="0" showAll="0" defaultSubtotal="0"/>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llDrilled="1" subtotalTop="0" showAll="0" dataSourceSort="1" defaultSubtotal="0" defaultAttributeDrillState="1"/>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Expense" fld="0" baseField="0" baseItem="0" numFmtId="164"/>
  </dataFields>
  <chartFormats count="26">
    <chartFormat chart="18" format="4" series="1">
      <pivotArea type="data" outline="0" fieldPosition="0">
        <references count="1">
          <reference field="4294967294" count="1" selected="0">
            <x v="0"/>
          </reference>
        </references>
      </pivotArea>
    </chartFormat>
    <chartFormat chart="23" format="68" series="1">
      <pivotArea type="data" outline="0" fieldPosition="0">
        <references count="1">
          <reference field="4294967294" count="1" selected="0">
            <x v="0"/>
          </reference>
        </references>
      </pivotArea>
    </chartFormat>
    <chartFormat chart="23" format="90">
      <pivotArea type="data" outline="0" fieldPosition="0">
        <references count="2">
          <reference field="4294967294" count="1" selected="0">
            <x v="0"/>
          </reference>
          <reference field="1" count="1" selected="0">
            <x v="1"/>
          </reference>
        </references>
      </pivotArea>
    </chartFormat>
    <chartFormat chart="23" format="91">
      <pivotArea type="data" outline="0" fieldPosition="0">
        <references count="2">
          <reference field="4294967294" count="1" selected="0">
            <x v="0"/>
          </reference>
          <reference field="1" count="1" selected="0">
            <x v="2"/>
          </reference>
        </references>
      </pivotArea>
    </chartFormat>
    <chartFormat chart="23" format="92">
      <pivotArea type="data" outline="0" fieldPosition="0">
        <references count="2">
          <reference field="4294967294" count="1" selected="0">
            <x v="0"/>
          </reference>
          <reference field="1" count="1" selected="0">
            <x v="3"/>
          </reference>
        </references>
      </pivotArea>
    </chartFormat>
    <chartFormat chart="23" format="93">
      <pivotArea type="data" outline="0" fieldPosition="0">
        <references count="2">
          <reference field="4294967294" count="1" selected="0">
            <x v="0"/>
          </reference>
          <reference field="1" count="1" selected="0">
            <x v="4"/>
          </reference>
        </references>
      </pivotArea>
    </chartFormat>
    <chartFormat chart="23" format="94">
      <pivotArea type="data" outline="0" fieldPosition="0">
        <references count="2">
          <reference field="4294967294" count="1" selected="0">
            <x v="0"/>
          </reference>
          <reference field="1" count="1" selected="0">
            <x v="5"/>
          </reference>
        </references>
      </pivotArea>
    </chartFormat>
    <chartFormat chart="23" format="95">
      <pivotArea type="data" outline="0" fieldPosition="0">
        <references count="2">
          <reference field="4294967294" count="1" selected="0">
            <x v="0"/>
          </reference>
          <reference field="1" count="1" selected="0">
            <x v="7"/>
          </reference>
        </references>
      </pivotArea>
    </chartFormat>
    <chartFormat chart="23" format="96">
      <pivotArea type="data" outline="0" fieldPosition="0">
        <references count="2">
          <reference field="4294967294" count="1" selected="0">
            <x v="0"/>
          </reference>
          <reference field="1" count="1" selected="0">
            <x v="8"/>
          </reference>
        </references>
      </pivotArea>
    </chartFormat>
    <chartFormat chart="23" format="97">
      <pivotArea type="data" outline="0" fieldPosition="0">
        <references count="2">
          <reference field="4294967294" count="1" selected="0">
            <x v="0"/>
          </reference>
          <reference field="1" count="1" selected="0">
            <x v="9"/>
          </reference>
        </references>
      </pivotArea>
    </chartFormat>
    <chartFormat chart="23" format="98">
      <pivotArea type="data" outline="0" fieldPosition="0">
        <references count="2">
          <reference field="4294967294" count="1" selected="0">
            <x v="0"/>
          </reference>
          <reference field="1" count="1" selected="0">
            <x v="10"/>
          </reference>
        </references>
      </pivotArea>
    </chartFormat>
    <chartFormat chart="23" format="99">
      <pivotArea type="data" outline="0" fieldPosition="0">
        <references count="2">
          <reference field="4294967294" count="1" selected="0">
            <x v="0"/>
          </reference>
          <reference field="1" count="1" selected="0">
            <x v="11"/>
          </reference>
        </references>
      </pivotArea>
    </chartFormat>
    <chartFormat chart="23" format="100">
      <pivotArea type="data" outline="0" fieldPosition="0">
        <references count="2">
          <reference field="4294967294" count="1" selected="0">
            <x v="0"/>
          </reference>
          <reference field="1" count="1" selected="0">
            <x v="12"/>
          </reference>
        </references>
      </pivotArea>
    </chartFormat>
    <chartFormat chart="23" format="101">
      <pivotArea type="data" outline="0" fieldPosition="0">
        <references count="2">
          <reference field="4294967294" count="1" selected="0">
            <x v="0"/>
          </reference>
          <reference field="1" count="1" selected="0">
            <x v="13"/>
          </reference>
        </references>
      </pivotArea>
    </chartFormat>
    <chartFormat chart="23" format="102">
      <pivotArea type="data" outline="0" fieldPosition="0">
        <references count="2">
          <reference field="4294967294" count="1" selected="0">
            <x v="0"/>
          </reference>
          <reference field="1" count="1" selected="0">
            <x v="14"/>
          </reference>
        </references>
      </pivotArea>
    </chartFormat>
    <chartFormat chart="23" format="103">
      <pivotArea type="data" outline="0" fieldPosition="0">
        <references count="2">
          <reference field="4294967294" count="1" selected="0">
            <x v="0"/>
          </reference>
          <reference field="1" count="1" selected="0">
            <x v="17"/>
          </reference>
        </references>
      </pivotArea>
    </chartFormat>
    <chartFormat chart="23" format="104">
      <pivotArea type="data" outline="0" fieldPosition="0">
        <references count="2">
          <reference field="4294967294" count="1" selected="0">
            <x v="0"/>
          </reference>
          <reference field="1" count="1" selected="0">
            <x v="18"/>
          </reference>
        </references>
      </pivotArea>
    </chartFormat>
    <chartFormat chart="23" format="105">
      <pivotArea type="data" outline="0" fieldPosition="0">
        <references count="2">
          <reference field="4294967294" count="1" selected="0">
            <x v="0"/>
          </reference>
          <reference field="1" count="1" selected="0">
            <x v="19"/>
          </reference>
        </references>
      </pivotArea>
    </chartFormat>
    <chartFormat chart="23" format="106">
      <pivotArea type="data" outline="0" fieldPosition="0">
        <references count="2">
          <reference field="4294967294" count="1" selected="0">
            <x v="0"/>
          </reference>
          <reference field="1" count="1" selected="0">
            <x v="21"/>
          </reference>
        </references>
      </pivotArea>
    </chartFormat>
    <chartFormat chart="23" format="107">
      <pivotArea type="data" outline="0" fieldPosition="0">
        <references count="2">
          <reference field="4294967294" count="1" selected="0">
            <x v="0"/>
          </reference>
          <reference field="1" count="1" selected="0">
            <x v="22"/>
          </reference>
        </references>
      </pivotArea>
    </chartFormat>
    <chartFormat chart="23" format="108">
      <pivotArea type="data" outline="0" fieldPosition="0">
        <references count="2">
          <reference field="4294967294" count="1" selected="0">
            <x v="0"/>
          </reference>
          <reference field="1" count="1" selected="0">
            <x v="20"/>
          </reference>
        </references>
      </pivotArea>
    </chartFormat>
    <chartFormat chart="23" format="109">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1">
          <reference field="4294967294" count="1" selected="0">
            <x v="0"/>
          </reference>
        </references>
      </pivotArea>
    </chartFormat>
    <chartFormat chart="23" format="110">
      <pivotArea type="data" outline="0" fieldPosition="0">
        <references count="2">
          <reference field="4294967294" count="1" selected="0">
            <x v="0"/>
          </reference>
          <reference field="1" count="1" selected="0">
            <x v="6"/>
          </reference>
        </references>
      </pivotArea>
    </chartFormat>
    <chartFormat chart="23" format="111">
      <pivotArea type="data" outline="0" fieldPosition="0">
        <references count="2">
          <reference field="4294967294" count="1" selected="0">
            <x v="0"/>
          </reference>
          <reference field="1" count="1" selected="0">
            <x v="15"/>
          </reference>
        </references>
      </pivotArea>
    </chartFormat>
    <chartFormat chart="23" format="112">
      <pivotArea type="data" outline="0" fieldPosition="0">
        <references count="2">
          <reference field="4294967294" count="1" selected="0">
            <x v="0"/>
          </reference>
          <reference field="1" count="1" selected="0">
            <x v="16"/>
          </reference>
        </references>
      </pivotArea>
    </chartFormat>
  </chartFormat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Expens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Category" xr10:uid="{05714833-1A3B-4922-A1AD-353D95F9A9EA}" sourceName="[Table1].[Expense Category]">
  <pivotTables>
    <pivotTable tabId="3" name="ExpenseCategory"/>
    <pivotTable tabId="3" name="ExpenseDays"/>
    <pivotTable tabId="3" name="ExpenseMonthly"/>
  </pivotTables>
  <data>
    <olap pivotCacheId="1023173124">
      <levels count="2">
        <level uniqueName="[Table1].[Expense Category].[(All)]" sourceCaption="(All)" count="0"/>
        <level uniqueName="[Table1].[Expense Category].[Expense Category]" sourceCaption="Expense Category" count="24">
          <ranges>
            <range startItem="0">
              <i n="[Table1].[Expense Category].&amp;[Beauty/salon]" c="Beauty/salon"/>
              <i n="[Table1].[Expense Category].&amp;[Books/Stationary]" c="Books/Stationary"/>
              <i n="[Table1].[Expense Category].&amp;[Class Fees]" c="Class Fees"/>
              <i n="[Table1].[Expense Category].&amp;[⁠Clothings]" c="⁠Clothings"/>
              <i n="[Table1].[Expense Category].&amp;[Electricity]" c="Electricity"/>
              <i n="[Table1].[Expense Category].&amp;[Entertainment]" c="Entertainment"/>
              <i n="[Table1].[Expense Category].&amp;[Exam Fees]" c="Exam Fees"/>
              <i n="[Table1].[Expense Category].&amp;[Gas]" c="Gas"/>
              <i n="[Table1].[Expense Category].&amp;[Groceries/Snacks]" c="Groceries/Snacks"/>
              <i n="[Table1].[Expense Category].&amp;[Interest]" c="Interest"/>
              <i n="[Table1].[Expense Category].&amp;[Internet/Phones]" c="Internet/Phones"/>
              <i n="[Table1].[Expense Category].&amp;[Licence/Insurance]" c="Licence/Insurance"/>
              <i n="[Table1].[Expense Category].&amp;[Loan/Lease]" c="Loan/Lease"/>
              <i n="[Table1].[Expense Category].&amp;[Lunch/Dinner]" c="Lunch/Dinner"/>
              <i n="[Table1].[Expense Category].&amp;[Medical]" c="Medical"/>
              <i n="[Table1].[Expense Category].&amp;[Popi/Tabi🐕]" c="Popi/Tabi🐕"/>
              <i n="[Table1].[Expense Category].&amp;[School Fees]" c="School Fees"/>
              <i n="[Table1].[Expense Category].&amp;[Servent]" c="Servent"/>
              <i n="[Table1].[Expense Category].&amp;[Sundry]" c="Sundry"/>
              <i n="[Table1].[Expense Category].&amp;[Transport/Petrol]" c="Transport/Petrol"/>
              <i n="[Table1].[Expense Category].&amp;[Tyre/Battery]" c="Tyre/Battery"/>
              <i n="[Table1].[Expense Category].&amp;[Vehicle Repair]" c="Vehicle Repair"/>
              <i n="[Table1].[Expense Category].&amp;[Water]" c="Water"/>
              <i n="[Table1].[Expense Category].&amp;" c="(blank)" nd="1"/>
            </range>
          </ranges>
        </level>
      </levels>
      <selections count="1">
        <selection n="[Table1].[Expense Category].[All]"/>
      </selections>
    </olap>
  </data>
  <extLst>
    <x:ext xmlns:x15="http://schemas.microsoft.com/office/spreadsheetml/2010/11/main" uri="{470722E0-AACD-4C17-9CDC-17EF765DBC7E}">
      <x15:slicerCacheHideItemsWithNoData count="1">
        <x15:slicerCacheOlapLevelName uniqueName="[Table1].[Expense Category].[Expense Category]"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Member_Name" xr10:uid="{1D5EBAD5-2F57-4F57-9438-7D427D6E0BF7}" sourceName="[Table1].[Family Member Name]">
  <pivotTables>
    <pivotTable tabId="3" name="ExpenseCategory"/>
    <pivotTable tabId="3" name="ExpenseDays"/>
    <pivotTable tabId="3" name="ExpenseMonthly"/>
    <pivotTable tabId="3" name="IncomeCategory"/>
    <pivotTable tabId="3" name="IncomeMember"/>
    <pivotTable tabId="3" name="IncomeMonthly"/>
    <pivotTable tabId="3" name="IncomeVsExpenses"/>
    <pivotTable tabId="3" name="IncomeMonth"/>
  </pivotTables>
  <data>
    <olap pivotCacheId="1023173124">
      <levels count="2">
        <level uniqueName="[Table1].[Family Member Name].[(All)]" sourceCaption="(All)" count="0"/>
        <level uniqueName="[Table1].[Family Member Name].[Family Member Name]" sourceCaption="Family Member Name" count="7">
          <ranges>
            <range startItem="0">
              <i n="[Table1].[Family Member Name].&amp;" c="(blank)"/>
              <i n="[Table1].[Family Member Name].&amp;[Beta Je]" c="Beta Je"/>
              <i n="[Table1].[Family Member Name].&amp;[Mahesh]" c="Mahesh"/>
              <i n="[Table1].[Family Member Name].&amp;[Other]" c="Other"/>
              <i n="[Table1].[Family Member Name].&amp;[Ralini]" c="Ralini"/>
              <i n="[Table1].[Family Member Name].&amp;[Shalini]" c="Shalini"/>
              <i n="[Table1].[Family Member Name].&amp;[Siluni]" c="Siluni"/>
            </range>
          </ranges>
        </level>
      </levels>
      <selections count="1">
        <selection n="[Table1].[Family Member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ategory" xr10:uid="{ED76B3F7-60F1-4972-B435-FFA2C287345B}" sourceName="[Table1].[Income Category]">
  <pivotTables>
    <pivotTable tabId="3" name="IncomeCategory"/>
    <pivotTable tabId="3" name="IncomeMember"/>
    <pivotTable tabId="3" name="IncomeMonthly"/>
    <pivotTable tabId="3" name="IncomeMonth"/>
  </pivotTables>
  <data>
    <olap pivotCacheId="1023173124">
      <levels count="2">
        <level uniqueName="[Table1].[Income Category].[(All)]" sourceCaption="(All)" count="0"/>
        <level uniqueName="[Table1].[Income Category].[Income Category]" sourceCaption="Income Category" count="5">
          <ranges>
            <range startItem="0">
              <i n="[Table1].[Income Category].&amp;[Bookkeeping]" c="Bookkeeping"/>
              <i n="[Table1].[Income Category].&amp;[Other]" c="Other"/>
              <i n="[Table1].[Income Category].&amp;[Salary]" c="Salary"/>
              <i n="[Table1].[Income Category].&amp;[Vehicle Rent]" c="Vehicle Rent"/>
              <i n="[Table1].[Income Category].&amp;" c="(blank)" nd="1"/>
            </range>
          </ranges>
        </level>
      </levels>
      <selections count="1">
        <selection n="[Table1].[Income Category].[All]"/>
      </selections>
    </olap>
  </data>
  <extLst>
    <x:ext xmlns:x15="http://schemas.microsoft.com/office/spreadsheetml/2010/11/main" uri="{470722E0-AACD-4C17-9CDC-17EF765DBC7E}">
      <x15:slicerCacheHideItemsWithNoData count="1">
        <x15:slicerCacheOlapLevelName uniqueName="[Table1].[Income Category].[Income Category]"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nse Category" xr10:uid="{8E6176AA-FEA1-4D6B-A9CD-746E011621F1}" cache="Slicer_Expense_Category" caption="Expense Category" level="1" rowHeight="241300"/>
  <slicer name="Family Member Name" xr10:uid="{A3F08437-BD4F-4585-AD61-719CA55253A9}" cache="Slicer_Family_Member_Name" caption="Family Member Name" level="1" rowHeight="241300"/>
  <slicer name="Income Category" xr10:uid="{58981B31-C28D-460A-9B7E-910222018CFC}" cache="Slicer_Income_Category" caption="Income 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72EEE7-3AF2-4198-B5A7-12B0893E2932}" name="Table1" displayName="Table1" ref="A1:G456" totalsRowShown="0" headerRowDxfId="68" dataDxfId="67">
  <autoFilter ref="A1:G456" xr:uid="{1272EEE7-3AF2-4198-B5A7-12B0893E2932}"/>
  <sortState xmlns:xlrd2="http://schemas.microsoft.com/office/spreadsheetml/2017/richdata2" ref="A2:G133">
    <sortCondition ref="A1:A133"/>
  </sortState>
  <tableColumns count="7">
    <tableColumn id="1" xr3:uid="{659BDFB0-D779-4DC7-BDD8-CEAFB9FA7709}" name="Date" dataDxfId="66"/>
    <tableColumn id="17" xr3:uid="{56B1086B-2736-4326-824D-99B212AD1BAB}" name="Family Member Name" dataDxfId="65"/>
    <tableColumn id="2" xr3:uid="{66ACA0C1-C978-4990-A779-7B2A29B3BDFA}" name="Expense Category" dataDxfId="64"/>
    <tableColumn id="4" xr3:uid="{1B763E11-7F5C-4E2D-8152-1C4CCDD738A8}" name="Income Category" dataDxfId="63"/>
    <tableColumn id="15" xr3:uid="{4E6F1B99-CCD5-4016-B87F-74BA06242560}" name="Description" dataDxfId="62"/>
    <tableColumn id="3" xr3:uid="{E181E665-811B-4370-90AA-D6D1562FD612}" name="Expense" dataDxfId="61" dataCellStyle="Comma"/>
    <tableColumn id="6" xr3:uid="{76CC0D32-8276-46AA-929B-6AC6D6C48077}" name="Income" dataDxfId="60" dataCellStyle="Comma"/>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7B14EB0-EDF0-4BE6-90E7-D9CED9995DE8}" sourceName="[Table1].[Date]">
  <pivotTables>
    <pivotTable tabId="3" name="ExpenseCategory"/>
    <pivotTable tabId="3" name="ExpenseDays"/>
    <pivotTable tabId="3" name="ExpenseMonthly"/>
    <pivotTable tabId="3" name="IncomeCategory"/>
    <pivotTable tabId="3" name="IncomeMember"/>
    <pivotTable tabId="3" name="IncomeMonthly"/>
    <pivotTable tabId="3" name="IncomeVsExpenses"/>
    <pivotTable tabId="3" name="IncomeMonth"/>
  </pivotTables>
  <state minimalRefreshVersion="6" lastRefreshVersion="6" pivotCacheId="773643444"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8B0B44E-E544-48B7-A32F-58D041C10C46}" cache="Timeline_Date" caption="Date" level="2" selectionLevel="2" scrollPosition="2025-03-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B8713-61E4-480E-AF02-392BA5E38404}">
  <dimension ref="A1:AD115"/>
  <sheetViews>
    <sheetView showGridLines="0" tabSelected="1" zoomScale="80" zoomScaleNormal="80" workbookViewId="0">
      <selection activeCell="AD9" sqref="AD9"/>
    </sheetView>
  </sheetViews>
  <sheetFormatPr defaultColWidth="0" defaultRowHeight="15" x14ac:dyDescent="0.25"/>
  <cols>
    <col min="1" max="15" width="9.140625" style="12" customWidth="1"/>
    <col min="16" max="16" width="16.28515625" style="12" bestFit="1" customWidth="1"/>
    <col min="17" max="21" width="8" style="12" bestFit="1" customWidth="1"/>
    <col min="22" max="22" width="7" style="12" bestFit="1" customWidth="1"/>
    <col min="23" max="25" width="8" style="12" bestFit="1" customWidth="1"/>
    <col min="26" max="26" width="7" style="12" bestFit="1" customWidth="1"/>
    <col min="27" max="27" width="9" style="12" bestFit="1" customWidth="1"/>
    <col min="28" max="28" width="11.28515625" style="12" bestFit="1" customWidth="1"/>
    <col min="29" max="29" width="9.140625" style="12" customWidth="1"/>
    <col min="30" max="30" width="2.5703125" style="12" customWidth="1"/>
    <col min="31" max="16384" width="9.140625" style="12" hidden="1"/>
  </cols>
  <sheetData>
    <row r="1" s="6" customFormat="1" x14ac:dyDescent="0.25"/>
    <row r="2" s="6" customFormat="1" x14ac:dyDescent="0.25"/>
    <row r="3" s="6" customFormat="1" x14ac:dyDescent="0.25"/>
    <row r="4" s="6" customFormat="1" x14ac:dyDescent="0.25"/>
    <row r="5" s="6" customFormat="1" x14ac:dyDescent="0.25"/>
    <row r="6" s="6" customFormat="1" x14ac:dyDescent="0.25"/>
    <row r="7" s="6" customFormat="1" x14ac:dyDescent="0.25"/>
    <row r="8" s="6" customFormat="1" x14ac:dyDescent="0.25"/>
    <row r="9" s="6" customFormat="1" x14ac:dyDescent="0.25"/>
    <row r="10" s="6" customFormat="1" x14ac:dyDescent="0.25"/>
    <row r="11" s="6" customFormat="1" x14ac:dyDescent="0.25"/>
    <row r="12" s="6" customFormat="1" x14ac:dyDescent="0.25"/>
    <row r="13" s="6" customFormat="1" x14ac:dyDescent="0.25"/>
    <row r="14" s="6" customFormat="1" x14ac:dyDescent="0.25"/>
    <row r="15" s="6" customFormat="1" x14ac:dyDescent="0.25"/>
    <row r="16" s="6" customFormat="1" x14ac:dyDescent="0.25"/>
    <row r="17" s="6" customFormat="1" x14ac:dyDescent="0.25"/>
    <row r="18" s="6" customFormat="1" x14ac:dyDescent="0.25"/>
    <row r="19" s="6" customFormat="1" x14ac:dyDescent="0.25"/>
    <row r="20" s="6" customFormat="1" x14ac:dyDescent="0.25"/>
    <row r="21" s="6" customFormat="1" x14ac:dyDescent="0.25"/>
    <row r="22" s="6" customFormat="1" x14ac:dyDescent="0.25"/>
    <row r="23" s="6" customFormat="1" x14ac:dyDescent="0.25"/>
    <row r="24" s="6" customFormat="1" x14ac:dyDescent="0.25"/>
    <row r="25" s="6" customFormat="1" x14ac:dyDescent="0.25"/>
    <row r="26" s="6" customFormat="1" x14ac:dyDescent="0.25"/>
    <row r="27" s="6" customFormat="1" x14ac:dyDescent="0.25"/>
    <row r="28" s="6" customFormat="1" x14ac:dyDescent="0.25"/>
    <row r="29" s="6" customFormat="1" x14ac:dyDescent="0.25"/>
    <row r="30" s="6" customFormat="1" x14ac:dyDescent="0.25"/>
    <row r="31" s="6" customFormat="1" x14ac:dyDescent="0.25"/>
    <row r="32" s="6" customFormat="1" x14ac:dyDescent="0.25"/>
    <row r="33" s="6" customFormat="1" x14ac:dyDescent="0.25"/>
    <row r="34" s="6" customFormat="1" x14ac:dyDescent="0.25"/>
    <row r="35" s="6" customFormat="1" x14ac:dyDescent="0.25"/>
    <row r="36" s="6" customFormat="1" x14ac:dyDescent="0.25"/>
    <row r="37" s="6" customFormat="1" x14ac:dyDescent="0.25"/>
    <row r="38" s="6" customFormat="1" x14ac:dyDescent="0.25"/>
    <row r="39" s="6" customFormat="1" x14ac:dyDescent="0.25"/>
    <row r="40" s="6" customFormat="1" x14ac:dyDescent="0.25"/>
    <row r="41" s="6" customFormat="1" x14ac:dyDescent="0.25"/>
    <row r="42" s="6" customFormat="1" x14ac:dyDescent="0.25"/>
    <row r="43" s="6" customFormat="1" x14ac:dyDescent="0.25"/>
    <row r="44" s="6" customFormat="1" x14ac:dyDescent="0.25"/>
    <row r="45" s="6" customFormat="1" x14ac:dyDescent="0.25"/>
    <row r="46" s="6" customFormat="1" x14ac:dyDescent="0.25"/>
    <row r="47" s="6" customFormat="1" x14ac:dyDescent="0.25"/>
    <row r="48" s="6" customFormat="1" x14ac:dyDescent="0.25"/>
    <row r="49" s="6" customFormat="1" x14ac:dyDescent="0.25"/>
    <row r="50" s="6" customFormat="1" x14ac:dyDescent="0.25"/>
    <row r="51" s="6" customFormat="1" x14ac:dyDescent="0.25"/>
    <row r="52" s="6" customFormat="1" x14ac:dyDescent="0.25"/>
    <row r="53" s="6" customFormat="1" x14ac:dyDescent="0.25"/>
    <row r="54" s="6" customFormat="1" x14ac:dyDescent="0.25"/>
    <row r="55" s="6" customFormat="1" x14ac:dyDescent="0.25"/>
    <row r="56" s="6" customFormat="1" x14ac:dyDescent="0.25"/>
    <row r="57" s="6" customFormat="1" x14ac:dyDescent="0.25"/>
    <row r="58" s="6" customFormat="1" x14ac:dyDescent="0.25"/>
    <row r="59" s="6" customFormat="1" x14ac:dyDescent="0.25"/>
    <row r="60" s="6" customFormat="1" x14ac:dyDescent="0.25"/>
    <row r="61" s="6" customFormat="1" x14ac:dyDescent="0.25"/>
    <row r="62" s="6" customFormat="1" x14ac:dyDescent="0.25"/>
    <row r="63" s="6" customFormat="1" x14ac:dyDescent="0.25"/>
    <row r="64" s="6" customFormat="1" x14ac:dyDescent="0.25"/>
    <row r="65" s="6" customFormat="1" x14ac:dyDescent="0.25"/>
    <row r="66" s="6" customFormat="1" x14ac:dyDescent="0.25"/>
    <row r="67" s="6" customFormat="1" x14ac:dyDescent="0.25"/>
    <row r="68" s="6" customFormat="1" x14ac:dyDescent="0.25"/>
    <row r="69" s="6" customFormat="1" x14ac:dyDescent="0.25"/>
    <row r="70" s="6" customFormat="1" x14ac:dyDescent="0.25"/>
    <row r="71" s="6" customFormat="1" x14ac:dyDescent="0.25"/>
    <row r="72" s="6" customFormat="1" x14ac:dyDescent="0.25"/>
    <row r="73" s="6" customFormat="1" x14ac:dyDescent="0.25"/>
    <row r="74" s="6" customFormat="1" x14ac:dyDescent="0.25"/>
    <row r="75" s="6" customFormat="1" x14ac:dyDescent="0.25"/>
    <row r="76" s="12" customFormat="1" x14ac:dyDescent="0.25"/>
    <row r="77" s="12" customFormat="1" x14ac:dyDescent="0.25"/>
    <row r="78" s="12" customFormat="1" x14ac:dyDescent="0.25"/>
    <row r="79" s="12" customFormat="1" x14ac:dyDescent="0.25"/>
    <row r="80" s="12" customFormat="1" x14ac:dyDescent="0.25"/>
    <row r="81" s="12" customFormat="1" x14ac:dyDescent="0.25"/>
    <row r="82" s="12" customFormat="1" x14ac:dyDescent="0.25"/>
    <row r="83" s="12" customFormat="1" x14ac:dyDescent="0.25"/>
    <row r="84" s="12" customFormat="1" x14ac:dyDescent="0.25"/>
    <row r="85" s="12" customFormat="1" x14ac:dyDescent="0.25"/>
    <row r="86" s="12" customFormat="1" x14ac:dyDescent="0.25"/>
    <row r="87" s="12" customFormat="1" x14ac:dyDescent="0.25"/>
    <row r="88" s="12" customFormat="1" x14ac:dyDescent="0.25"/>
    <row r="89" s="12" customFormat="1" x14ac:dyDescent="0.25"/>
    <row r="90" s="12" customFormat="1" x14ac:dyDescent="0.25"/>
    <row r="91" s="12" customFormat="1" x14ac:dyDescent="0.25"/>
    <row r="92" s="12" customFormat="1" x14ac:dyDescent="0.25"/>
    <row r="93" s="12" customFormat="1" x14ac:dyDescent="0.25"/>
    <row r="94" s="12" customFormat="1" x14ac:dyDescent="0.25"/>
    <row r="95" s="12" customFormat="1" x14ac:dyDescent="0.25"/>
    <row r="96" s="12" customFormat="1" x14ac:dyDescent="0.25"/>
    <row r="97" s="12" customFormat="1" x14ac:dyDescent="0.25"/>
    <row r="98" s="12" customFormat="1" x14ac:dyDescent="0.25"/>
    <row r="99" s="12" customFormat="1" x14ac:dyDescent="0.25"/>
    <row r="100" s="12" customFormat="1" x14ac:dyDescent="0.25"/>
    <row r="101" s="12" customFormat="1" x14ac:dyDescent="0.25"/>
    <row r="102" s="12" customFormat="1" x14ac:dyDescent="0.25"/>
    <row r="103" s="12" customFormat="1" x14ac:dyDescent="0.25"/>
    <row r="104" s="12" customFormat="1" x14ac:dyDescent="0.25"/>
    <row r="105" s="12" customFormat="1" x14ac:dyDescent="0.25"/>
    <row r="106" s="12" customFormat="1" x14ac:dyDescent="0.25"/>
    <row r="107" s="12" customFormat="1" x14ac:dyDescent="0.25"/>
    <row r="108" s="12" customFormat="1" x14ac:dyDescent="0.25"/>
    <row r="109" s="12" customFormat="1" x14ac:dyDescent="0.25"/>
    <row r="110" s="12" customFormat="1" x14ac:dyDescent="0.25"/>
    <row r="111" s="12" customFormat="1" x14ac:dyDescent="0.25"/>
    <row r="112" s="12" customFormat="1" x14ac:dyDescent="0.25"/>
    <row r="113" s="12" customFormat="1" x14ac:dyDescent="0.25"/>
    <row r="114" s="12" customFormat="1" x14ac:dyDescent="0.25"/>
    <row r="115" s="12" customFormat="1"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6"/>
  <sheetViews>
    <sheetView topLeftCell="A420" zoomScale="80" zoomScaleNormal="80" workbookViewId="0">
      <selection activeCell="E413" sqref="E413"/>
    </sheetView>
  </sheetViews>
  <sheetFormatPr defaultRowHeight="15" x14ac:dyDescent="0.25"/>
  <cols>
    <col min="1" max="1" width="11.5703125" style="8" bestFit="1" customWidth="1"/>
    <col min="2" max="2" width="12.5703125" style="8" customWidth="1"/>
    <col min="3" max="3" width="20" style="8" bestFit="1" customWidth="1"/>
    <col min="4" max="4" width="19.140625" style="8" bestFit="1" customWidth="1"/>
    <col min="5" max="5" width="44.7109375" style="8" customWidth="1"/>
    <col min="6" max="6" width="11.42578125" style="8" bestFit="1" customWidth="1"/>
    <col min="7" max="7" width="10.5703125" style="8" bestFit="1" customWidth="1"/>
    <col min="8" max="16384" width="9.140625" style="8"/>
  </cols>
  <sheetData>
    <row r="1" spans="1:7" s="10" customFormat="1" x14ac:dyDescent="0.25">
      <c r="A1" s="10" t="s">
        <v>0</v>
      </c>
      <c r="B1" s="10" t="s">
        <v>6</v>
      </c>
      <c r="C1" s="10" t="s">
        <v>7</v>
      </c>
      <c r="D1" s="10" t="s">
        <v>66</v>
      </c>
      <c r="E1" s="10" t="s">
        <v>109</v>
      </c>
      <c r="F1" s="10" t="s">
        <v>77</v>
      </c>
      <c r="G1" s="10" t="s">
        <v>79</v>
      </c>
    </row>
    <row r="2" spans="1:7" x14ac:dyDescent="0.25">
      <c r="A2" s="7">
        <v>45658</v>
      </c>
      <c r="B2" s="8" t="s">
        <v>13</v>
      </c>
      <c r="C2" s="8" t="s">
        <v>20</v>
      </c>
      <c r="E2" s="8" t="s">
        <v>28</v>
      </c>
      <c r="F2" s="9">
        <v>1100</v>
      </c>
      <c r="G2" s="9"/>
    </row>
    <row r="3" spans="1:7" x14ac:dyDescent="0.25">
      <c r="A3" s="7">
        <v>45658</v>
      </c>
      <c r="B3" s="8" t="s">
        <v>14</v>
      </c>
      <c r="C3" s="8" t="s">
        <v>24</v>
      </c>
      <c r="E3" s="8" t="s">
        <v>29</v>
      </c>
      <c r="F3" s="9">
        <v>2500</v>
      </c>
      <c r="G3" s="9"/>
    </row>
    <row r="4" spans="1:7" x14ac:dyDescent="0.25">
      <c r="A4" s="7">
        <v>45658</v>
      </c>
      <c r="B4" s="8" t="s">
        <v>13</v>
      </c>
      <c r="C4" s="8" t="s">
        <v>25</v>
      </c>
      <c r="E4" s="8" t="s">
        <v>27</v>
      </c>
      <c r="F4" s="9">
        <v>600</v>
      </c>
      <c r="G4" s="9"/>
    </row>
    <row r="5" spans="1:7" x14ac:dyDescent="0.25">
      <c r="A5" s="7">
        <v>45658</v>
      </c>
      <c r="B5" s="8" t="s">
        <v>13</v>
      </c>
      <c r="C5" s="8" t="s">
        <v>25</v>
      </c>
      <c r="E5" s="8" t="s">
        <v>28</v>
      </c>
      <c r="F5" s="9">
        <v>400</v>
      </c>
      <c r="G5" s="9"/>
    </row>
    <row r="6" spans="1:7" x14ac:dyDescent="0.25">
      <c r="A6" s="7">
        <v>45658</v>
      </c>
      <c r="B6" s="8" t="s">
        <v>136</v>
      </c>
      <c r="D6" s="8" t="s">
        <v>69</v>
      </c>
      <c r="E6" s="8" t="s">
        <v>126</v>
      </c>
      <c r="F6" s="9"/>
      <c r="G6" s="9">
        <v>60000</v>
      </c>
    </row>
    <row r="7" spans="1:7" x14ac:dyDescent="0.25">
      <c r="A7" s="7">
        <v>45660</v>
      </c>
      <c r="B7" s="8" t="s">
        <v>13</v>
      </c>
      <c r="C7" s="8" t="s">
        <v>26</v>
      </c>
      <c r="E7" s="8" t="s">
        <v>30</v>
      </c>
      <c r="F7" s="9">
        <v>4250</v>
      </c>
      <c r="G7" s="9"/>
    </row>
    <row r="8" spans="1:7" x14ac:dyDescent="0.25">
      <c r="A8" s="7">
        <v>45660</v>
      </c>
      <c r="B8" s="8" t="s">
        <v>13</v>
      </c>
      <c r="C8" s="8" t="s">
        <v>25</v>
      </c>
      <c r="E8" s="8" t="s">
        <v>31</v>
      </c>
      <c r="F8" s="9">
        <v>1000</v>
      </c>
      <c r="G8" s="9"/>
    </row>
    <row r="9" spans="1:7" x14ac:dyDescent="0.25">
      <c r="A9" s="7">
        <v>45661</v>
      </c>
      <c r="B9" s="8" t="s">
        <v>13</v>
      </c>
      <c r="C9" s="8" t="s">
        <v>111</v>
      </c>
      <c r="E9" s="8" t="s">
        <v>32</v>
      </c>
      <c r="F9" s="9">
        <v>6000</v>
      </c>
      <c r="G9" s="9"/>
    </row>
    <row r="10" spans="1:7" x14ac:dyDescent="0.25">
      <c r="A10" s="7">
        <v>45661</v>
      </c>
      <c r="B10" s="8" t="s">
        <v>13</v>
      </c>
      <c r="C10" s="8" t="s">
        <v>25</v>
      </c>
      <c r="E10" s="8" t="s">
        <v>33</v>
      </c>
      <c r="F10" s="9">
        <v>3000</v>
      </c>
      <c r="G10" s="9"/>
    </row>
    <row r="11" spans="1:7" x14ac:dyDescent="0.25">
      <c r="A11" s="7">
        <v>45663</v>
      </c>
      <c r="B11" s="8" t="s">
        <v>15</v>
      </c>
      <c r="C11" s="8" t="s">
        <v>23</v>
      </c>
      <c r="E11" s="8" t="s">
        <v>34</v>
      </c>
      <c r="F11" s="9">
        <v>2000</v>
      </c>
      <c r="G11" s="9"/>
    </row>
    <row r="12" spans="1:7" x14ac:dyDescent="0.25">
      <c r="A12" s="7">
        <v>45663</v>
      </c>
      <c r="B12" s="8" t="s">
        <v>13</v>
      </c>
      <c r="C12" s="8" t="s">
        <v>20</v>
      </c>
      <c r="E12" s="8" t="s">
        <v>28</v>
      </c>
      <c r="F12" s="9">
        <v>1100</v>
      </c>
      <c r="G12" s="9"/>
    </row>
    <row r="13" spans="1:7" x14ac:dyDescent="0.25">
      <c r="A13" s="7">
        <v>45663</v>
      </c>
      <c r="B13" s="8" t="s">
        <v>14</v>
      </c>
      <c r="C13" s="8" t="s">
        <v>25</v>
      </c>
      <c r="E13" s="8" t="s">
        <v>27</v>
      </c>
      <c r="F13" s="9">
        <v>2100</v>
      </c>
      <c r="G13" s="9"/>
    </row>
    <row r="14" spans="1:7" x14ac:dyDescent="0.25">
      <c r="A14" s="7">
        <v>45663</v>
      </c>
      <c r="B14" s="8" t="s">
        <v>13</v>
      </c>
      <c r="C14" s="8" t="s">
        <v>25</v>
      </c>
      <c r="E14" s="8" t="s">
        <v>28</v>
      </c>
      <c r="F14" s="9">
        <v>400</v>
      </c>
      <c r="G14" s="9"/>
    </row>
    <row r="15" spans="1:7" x14ac:dyDescent="0.25">
      <c r="A15" s="7">
        <v>45663</v>
      </c>
      <c r="B15" s="8" t="s">
        <v>13</v>
      </c>
      <c r="C15" s="8" t="s">
        <v>25</v>
      </c>
      <c r="E15" s="8" t="s">
        <v>35</v>
      </c>
      <c r="F15" s="9">
        <v>1500</v>
      </c>
      <c r="G15" s="9"/>
    </row>
    <row r="16" spans="1:7" x14ac:dyDescent="0.25">
      <c r="A16" s="7">
        <v>45665</v>
      </c>
      <c r="B16" s="8" t="s">
        <v>16</v>
      </c>
      <c r="C16" s="8" t="s">
        <v>48</v>
      </c>
      <c r="E16" s="8" t="s">
        <v>37</v>
      </c>
      <c r="F16" s="9">
        <v>1500</v>
      </c>
      <c r="G16" s="9"/>
    </row>
    <row r="17" spans="1:7" x14ac:dyDescent="0.25">
      <c r="A17" s="7">
        <v>45665</v>
      </c>
      <c r="B17" s="8" t="s">
        <v>15</v>
      </c>
      <c r="C17" s="8" t="s">
        <v>48</v>
      </c>
      <c r="E17" s="8" t="s">
        <v>37</v>
      </c>
      <c r="F17" s="9">
        <v>2000</v>
      </c>
      <c r="G17" s="9"/>
    </row>
    <row r="18" spans="1:7" x14ac:dyDescent="0.25">
      <c r="A18" s="7">
        <v>45665</v>
      </c>
      <c r="B18" s="8" t="s">
        <v>13</v>
      </c>
      <c r="C18" s="8" t="s">
        <v>111</v>
      </c>
      <c r="E18" s="8" t="s">
        <v>39</v>
      </c>
      <c r="F18" s="9">
        <v>4000</v>
      </c>
      <c r="G18" s="9"/>
    </row>
    <row r="19" spans="1:7" x14ac:dyDescent="0.25">
      <c r="A19" s="7">
        <v>45665</v>
      </c>
      <c r="B19" s="8" t="s">
        <v>9</v>
      </c>
      <c r="C19" s="8" t="s">
        <v>18</v>
      </c>
      <c r="E19" s="8" t="s">
        <v>38</v>
      </c>
      <c r="F19" s="9">
        <v>1000</v>
      </c>
      <c r="G19" s="9"/>
    </row>
    <row r="20" spans="1:7" x14ac:dyDescent="0.25">
      <c r="A20" s="7">
        <v>45665</v>
      </c>
      <c r="B20" s="8" t="s">
        <v>13</v>
      </c>
      <c r="C20" s="8" t="s">
        <v>25</v>
      </c>
      <c r="E20" s="8" t="s">
        <v>36</v>
      </c>
      <c r="F20" s="9">
        <v>3000</v>
      </c>
      <c r="G20" s="9"/>
    </row>
    <row r="21" spans="1:7" x14ac:dyDescent="0.25">
      <c r="A21" s="7">
        <v>45666</v>
      </c>
      <c r="B21" s="8" t="s">
        <v>13</v>
      </c>
      <c r="D21" s="8" t="s">
        <v>70</v>
      </c>
      <c r="E21" s="8" t="s">
        <v>72</v>
      </c>
      <c r="F21" s="9"/>
      <c r="G21" s="9">
        <v>5000</v>
      </c>
    </row>
    <row r="22" spans="1:7" x14ac:dyDescent="0.25">
      <c r="A22" s="7">
        <v>45667</v>
      </c>
      <c r="B22" s="8" t="s">
        <v>13</v>
      </c>
      <c r="C22" s="8" t="s">
        <v>111</v>
      </c>
      <c r="E22" s="8" t="s">
        <v>32</v>
      </c>
      <c r="F22" s="9">
        <v>20500</v>
      </c>
      <c r="G22" s="9"/>
    </row>
    <row r="23" spans="1:7" x14ac:dyDescent="0.25">
      <c r="A23" s="7">
        <v>45667</v>
      </c>
      <c r="B23" s="8" t="s">
        <v>13</v>
      </c>
      <c r="C23" s="8" t="s">
        <v>113</v>
      </c>
      <c r="E23" s="8" t="s">
        <v>40</v>
      </c>
      <c r="F23" s="9">
        <v>11000</v>
      </c>
      <c r="G23" s="9"/>
    </row>
    <row r="24" spans="1:7" x14ac:dyDescent="0.25">
      <c r="A24" s="7">
        <v>45667</v>
      </c>
      <c r="B24" s="8" t="s">
        <v>13</v>
      </c>
      <c r="C24" s="8" t="s">
        <v>26</v>
      </c>
      <c r="E24" s="8" t="s">
        <v>30</v>
      </c>
      <c r="F24" s="9">
        <v>4000</v>
      </c>
      <c r="G24" s="9"/>
    </row>
    <row r="25" spans="1:7" x14ac:dyDescent="0.25">
      <c r="A25" s="7">
        <v>45667</v>
      </c>
      <c r="B25" s="8" t="s">
        <v>13</v>
      </c>
      <c r="D25" s="8" t="s">
        <v>68</v>
      </c>
      <c r="E25" s="8" t="s">
        <v>73</v>
      </c>
      <c r="F25" s="9"/>
      <c r="G25" s="9">
        <v>183000</v>
      </c>
    </row>
    <row r="26" spans="1:7" x14ac:dyDescent="0.25">
      <c r="A26" s="7">
        <v>45668</v>
      </c>
      <c r="B26" s="8" t="s">
        <v>13</v>
      </c>
      <c r="C26" s="8" t="s">
        <v>43</v>
      </c>
      <c r="E26" s="8" t="s">
        <v>43</v>
      </c>
      <c r="F26" s="9">
        <v>3700</v>
      </c>
      <c r="G26" s="9"/>
    </row>
    <row r="27" spans="1:7" x14ac:dyDescent="0.25">
      <c r="A27" s="7">
        <v>45668</v>
      </c>
      <c r="B27" s="8" t="s">
        <v>13</v>
      </c>
      <c r="C27" s="8" t="s">
        <v>111</v>
      </c>
      <c r="E27" s="8" t="s">
        <v>39</v>
      </c>
      <c r="F27" s="9">
        <v>8900</v>
      </c>
      <c r="G27" s="9"/>
    </row>
    <row r="28" spans="1:7" x14ac:dyDescent="0.25">
      <c r="A28" s="7">
        <v>45668</v>
      </c>
      <c r="B28" s="8" t="s">
        <v>13</v>
      </c>
      <c r="C28" s="8" t="s">
        <v>112</v>
      </c>
      <c r="E28" s="8" t="s">
        <v>41</v>
      </c>
      <c r="F28" s="9">
        <v>35000</v>
      </c>
      <c r="G28" s="9"/>
    </row>
    <row r="29" spans="1:7" x14ac:dyDescent="0.25">
      <c r="A29" s="7">
        <v>45668</v>
      </c>
      <c r="B29" s="8" t="s">
        <v>13</v>
      </c>
      <c r="C29" s="8" t="s">
        <v>112</v>
      </c>
      <c r="E29" s="8" t="s">
        <v>42</v>
      </c>
      <c r="F29" s="9">
        <v>40000</v>
      </c>
      <c r="G29" s="9"/>
    </row>
    <row r="30" spans="1:7" x14ac:dyDescent="0.25">
      <c r="A30" s="7">
        <v>45668</v>
      </c>
      <c r="B30" s="8" t="s">
        <v>14</v>
      </c>
      <c r="C30" s="8" t="s">
        <v>25</v>
      </c>
      <c r="E30" s="8" t="s">
        <v>27</v>
      </c>
      <c r="F30" s="9">
        <v>2100</v>
      </c>
      <c r="G30" s="9"/>
    </row>
    <row r="31" spans="1:7" x14ac:dyDescent="0.25">
      <c r="A31" s="7">
        <v>45669</v>
      </c>
      <c r="B31" s="8" t="s">
        <v>13</v>
      </c>
      <c r="C31" s="8" t="s">
        <v>113</v>
      </c>
      <c r="E31" s="8" t="s">
        <v>45</v>
      </c>
      <c r="F31" s="9">
        <v>12269.47</v>
      </c>
      <c r="G31" s="9"/>
    </row>
    <row r="32" spans="1:7" x14ac:dyDescent="0.25">
      <c r="A32" s="7">
        <v>45669</v>
      </c>
      <c r="B32" s="8" t="s">
        <v>14</v>
      </c>
      <c r="C32" s="8" t="s">
        <v>5</v>
      </c>
      <c r="E32" s="8" t="s">
        <v>44</v>
      </c>
      <c r="F32" s="9">
        <v>1564</v>
      </c>
      <c r="G32" s="9"/>
    </row>
    <row r="33" spans="1:7" x14ac:dyDescent="0.25">
      <c r="A33" s="7">
        <v>45669</v>
      </c>
      <c r="B33" s="8" t="s">
        <v>13</v>
      </c>
      <c r="C33" s="8" t="s">
        <v>5</v>
      </c>
      <c r="E33" s="8" t="s">
        <v>44</v>
      </c>
      <c r="F33" s="9">
        <v>1472</v>
      </c>
      <c r="G33" s="9"/>
    </row>
    <row r="34" spans="1:7" x14ac:dyDescent="0.25">
      <c r="A34" s="7">
        <v>45669</v>
      </c>
      <c r="B34" s="8" t="s">
        <v>13</v>
      </c>
      <c r="C34" s="8" t="s">
        <v>5</v>
      </c>
      <c r="E34" s="8" t="s">
        <v>44</v>
      </c>
      <c r="F34" s="9">
        <v>2685</v>
      </c>
      <c r="G34" s="9"/>
    </row>
    <row r="35" spans="1:7" x14ac:dyDescent="0.25">
      <c r="A35" s="7">
        <v>45669</v>
      </c>
      <c r="B35" s="8" t="s">
        <v>13</v>
      </c>
      <c r="C35" s="8" t="s">
        <v>5</v>
      </c>
      <c r="E35" s="8" t="s">
        <v>44</v>
      </c>
      <c r="F35" s="9">
        <v>734.48</v>
      </c>
      <c r="G35" s="9"/>
    </row>
    <row r="36" spans="1:7" x14ac:dyDescent="0.25">
      <c r="A36" s="7">
        <v>45669</v>
      </c>
      <c r="B36" s="8" t="s">
        <v>13</v>
      </c>
      <c r="C36" s="8" t="s">
        <v>5</v>
      </c>
      <c r="E36" s="8" t="s">
        <v>44</v>
      </c>
      <c r="F36" s="9">
        <v>1479.9</v>
      </c>
      <c r="G36" s="9"/>
    </row>
    <row r="37" spans="1:7" x14ac:dyDescent="0.25">
      <c r="A37" s="7">
        <v>45669</v>
      </c>
      <c r="B37" s="8" t="s">
        <v>136</v>
      </c>
      <c r="C37" s="8" t="s">
        <v>114</v>
      </c>
      <c r="E37" s="8" t="s">
        <v>46</v>
      </c>
      <c r="F37" s="9">
        <v>28172</v>
      </c>
      <c r="G37" s="9"/>
    </row>
    <row r="38" spans="1:7" x14ac:dyDescent="0.25">
      <c r="A38" s="7">
        <v>45669</v>
      </c>
      <c r="B38" s="8" t="s">
        <v>13</v>
      </c>
      <c r="C38" s="8" t="s">
        <v>3</v>
      </c>
      <c r="E38" s="8" t="s">
        <v>44</v>
      </c>
      <c r="F38" s="9">
        <v>3971.98</v>
      </c>
      <c r="G38" s="9"/>
    </row>
    <row r="39" spans="1:7" x14ac:dyDescent="0.25">
      <c r="A39" s="7">
        <v>45670</v>
      </c>
      <c r="B39" s="8" t="s">
        <v>13</v>
      </c>
      <c r="C39" s="8" t="s">
        <v>111</v>
      </c>
      <c r="E39" s="8" t="s">
        <v>50</v>
      </c>
      <c r="F39" s="9">
        <v>3500</v>
      </c>
      <c r="G39" s="9"/>
    </row>
    <row r="40" spans="1:7" x14ac:dyDescent="0.25">
      <c r="A40" s="7">
        <v>45670</v>
      </c>
      <c r="B40" s="8" t="s">
        <v>13</v>
      </c>
      <c r="C40" s="8" t="s">
        <v>20</v>
      </c>
      <c r="E40" s="8" t="s">
        <v>28</v>
      </c>
      <c r="F40" s="9">
        <v>1100</v>
      </c>
      <c r="G40" s="9"/>
    </row>
    <row r="41" spans="1:7" x14ac:dyDescent="0.25">
      <c r="A41" s="7">
        <v>45670</v>
      </c>
      <c r="B41" s="8" t="s">
        <v>13</v>
      </c>
      <c r="C41" s="8" t="s">
        <v>25</v>
      </c>
      <c r="E41" s="8" t="s">
        <v>51</v>
      </c>
      <c r="F41" s="9">
        <v>3000</v>
      </c>
      <c r="G41" s="9"/>
    </row>
    <row r="42" spans="1:7" x14ac:dyDescent="0.25">
      <c r="A42" s="7">
        <v>45670</v>
      </c>
      <c r="B42" s="8" t="s">
        <v>13</v>
      </c>
      <c r="C42" s="8" t="s">
        <v>25</v>
      </c>
      <c r="E42" s="8" t="s">
        <v>28</v>
      </c>
      <c r="F42" s="9">
        <v>400</v>
      </c>
      <c r="G42" s="9"/>
    </row>
    <row r="43" spans="1:7" x14ac:dyDescent="0.25">
      <c r="A43" s="7">
        <v>45670</v>
      </c>
      <c r="B43" s="8" t="s">
        <v>13</v>
      </c>
      <c r="C43" s="8" t="s">
        <v>25</v>
      </c>
      <c r="E43" s="8" t="s">
        <v>47</v>
      </c>
      <c r="F43" s="9">
        <v>1500</v>
      </c>
      <c r="G43" s="9"/>
    </row>
    <row r="44" spans="1:7" x14ac:dyDescent="0.25">
      <c r="A44" s="7">
        <v>45674</v>
      </c>
      <c r="B44" s="8" t="s">
        <v>13</v>
      </c>
      <c r="C44" s="8" t="s">
        <v>26</v>
      </c>
      <c r="E44" s="8" t="s">
        <v>30</v>
      </c>
      <c r="F44" s="9">
        <v>4000</v>
      </c>
      <c r="G44" s="9"/>
    </row>
    <row r="45" spans="1:7" x14ac:dyDescent="0.25">
      <c r="A45" s="7">
        <v>45677</v>
      </c>
      <c r="B45" s="8" t="s">
        <v>13</v>
      </c>
      <c r="C45" s="8" t="s">
        <v>111</v>
      </c>
      <c r="E45" s="8" t="s">
        <v>32</v>
      </c>
      <c r="F45" s="9">
        <v>500</v>
      </c>
      <c r="G45" s="9"/>
    </row>
    <row r="46" spans="1:7" x14ac:dyDescent="0.25">
      <c r="A46" s="7">
        <v>45677</v>
      </c>
      <c r="B46" s="8" t="s">
        <v>13</v>
      </c>
      <c r="C46" s="8" t="s">
        <v>20</v>
      </c>
      <c r="E46" s="8" t="s">
        <v>28</v>
      </c>
      <c r="F46" s="9">
        <v>1100</v>
      </c>
      <c r="G46" s="9"/>
    </row>
    <row r="47" spans="1:7" x14ac:dyDescent="0.25">
      <c r="A47" s="7">
        <v>45677</v>
      </c>
      <c r="B47" s="8" t="s">
        <v>14</v>
      </c>
      <c r="C47" s="8" t="s">
        <v>25</v>
      </c>
      <c r="E47" s="8" t="s">
        <v>27</v>
      </c>
      <c r="F47" s="9">
        <v>2100</v>
      </c>
      <c r="G47" s="9"/>
    </row>
    <row r="48" spans="1:7" x14ac:dyDescent="0.25">
      <c r="A48" s="7">
        <v>45677</v>
      </c>
      <c r="B48" s="8" t="s">
        <v>13</v>
      </c>
      <c r="C48" s="8" t="s">
        <v>25</v>
      </c>
      <c r="E48" s="8" t="s">
        <v>28</v>
      </c>
      <c r="F48" s="9">
        <v>400</v>
      </c>
      <c r="G48" s="9"/>
    </row>
    <row r="49" spans="1:7" x14ac:dyDescent="0.25">
      <c r="A49" s="7">
        <v>45677</v>
      </c>
      <c r="B49" s="8" t="s">
        <v>13</v>
      </c>
      <c r="C49" s="8" t="s">
        <v>25</v>
      </c>
      <c r="E49" s="8" t="s">
        <v>47</v>
      </c>
      <c r="F49" s="9">
        <v>1500</v>
      </c>
      <c r="G49" s="9"/>
    </row>
    <row r="50" spans="1:7" x14ac:dyDescent="0.25">
      <c r="A50" s="7">
        <v>45677</v>
      </c>
      <c r="B50" s="8" t="s">
        <v>136</v>
      </c>
      <c r="D50" s="8" t="s">
        <v>69</v>
      </c>
      <c r="E50" s="8" t="s">
        <v>173</v>
      </c>
      <c r="F50" s="9"/>
      <c r="G50" s="9">
        <v>5000</v>
      </c>
    </row>
    <row r="51" spans="1:7" x14ac:dyDescent="0.25">
      <c r="A51" s="7">
        <v>45677</v>
      </c>
      <c r="B51" s="8" t="s">
        <v>136</v>
      </c>
      <c r="D51" s="8" t="s">
        <v>69</v>
      </c>
      <c r="E51" s="8" t="s">
        <v>174</v>
      </c>
      <c r="F51" s="9"/>
      <c r="G51" s="9">
        <v>5000</v>
      </c>
    </row>
    <row r="52" spans="1:7" x14ac:dyDescent="0.25">
      <c r="A52" s="7">
        <v>45681</v>
      </c>
      <c r="B52" s="8" t="s">
        <v>13</v>
      </c>
      <c r="C52" s="8" t="s">
        <v>26</v>
      </c>
      <c r="E52" s="8" t="s">
        <v>30</v>
      </c>
      <c r="F52" s="9">
        <v>4000</v>
      </c>
      <c r="G52" s="9"/>
    </row>
    <row r="53" spans="1:7" x14ac:dyDescent="0.25">
      <c r="A53" s="7">
        <v>45681</v>
      </c>
      <c r="B53" s="8" t="s">
        <v>136</v>
      </c>
      <c r="D53" s="8" t="s">
        <v>69</v>
      </c>
      <c r="E53" s="8" t="s">
        <v>74</v>
      </c>
      <c r="F53" s="9"/>
      <c r="G53" s="9">
        <v>7000</v>
      </c>
    </row>
    <row r="54" spans="1:7" x14ac:dyDescent="0.25">
      <c r="A54" s="7">
        <v>45682</v>
      </c>
      <c r="B54" s="8" t="s">
        <v>13</v>
      </c>
      <c r="C54" s="8" t="s">
        <v>111</v>
      </c>
      <c r="E54" s="8" t="s">
        <v>32</v>
      </c>
      <c r="F54" s="9">
        <v>6000</v>
      </c>
      <c r="G54" s="9"/>
    </row>
    <row r="55" spans="1:7" x14ac:dyDescent="0.25">
      <c r="A55" s="7">
        <v>45682</v>
      </c>
      <c r="B55" s="8" t="s">
        <v>13</v>
      </c>
      <c r="C55" s="8" t="s">
        <v>25</v>
      </c>
      <c r="E55" s="8" t="s">
        <v>33</v>
      </c>
      <c r="F55" s="9">
        <v>3000</v>
      </c>
      <c r="G55" s="9"/>
    </row>
    <row r="56" spans="1:7" x14ac:dyDescent="0.25">
      <c r="A56" s="7">
        <v>45683</v>
      </c>
      <c r="B56" s="8" t="s">
        <v>16</v>
      </c>
      <c r="C56" s="8" t="s">
        <v>21</v>
      </c>
      <c r="E56" s="8" t="s">
        <v>82</v>
      </c>
      <c r="F56" s="9">
        <v>1500</v>
      </c>
      <c r="G56" s="9"/>
    </row>
    <row r="57" spans="1:7" x14ac:dyDescent="0.25">
      <c r="A57" s="7">
        <v>45683</v>
      </c>
      <c r="B57" s="8" t="s">
        <v>13</v>
      </c>
      <c r="C57" s="8" t="s">
        <v>20</v>
      </c>
      <c r="E57" s="8" t="s">
        <v>53</v>
      </c>
      <c r="F57" s="9">
        <v>3000</v>
      </c>
      <c r="G57" s="9"/>
    </row>
    <row r="58" spans="1:7" x14ac:dyDescent="0.25">
      <c r="A58" s="7">
        <v>45683</v>
      </c>
      <c r="B58" s="8" t="s">
        <v>13</v>
      </c>
      <c r="C58" s="8" t="s">
        <v>111</v>
      </c>
      <c r="E58" s="8" t="s">
        <v>54</v>
      </c>
      <c r="F58" s="9">
        <v>1500</v>
      </c>
      <c r="G58" s="9"/>
    </row>
    <row r="59" spans="1:7" x14ac:dyDescent="0.25">
      <c r="A59" s="7">
        <v>45683</v>
      </c>
      <c r="B59" s="8" t="s">
        <v>13</v>
      </c>
      <c r="C59" s="8" t="s">
        <v>24</v>
      </c>
      <c r="E59" s="8" t="s">
        <v>52</v>
      </c>
      <c r="F59" s="9">
        <v>600</v>
      </c>
      <c r="G59" s="9"/>
    </row>
    <row r="60" spans="1:7" x14ac:dyDescent="0.25">
      <c r="A60" s="7">
        <v>45684</v>
      </c>
      <c r="B60" s="8" t="s">
        <v>13</v>
      </c>
      <c r="C60" s="8" t="s">
        <v>2</v>
      </c>
      <c r="E60" s="8" t="s">
        <v>96</v>
      </c>
      <c r="F60" s="9">
        <v>5010</v>
      </c>
      <c r="G60" s="9"/>
    </row>
    <row r="61" spans="1:7" x14ac:dyDescent="0.25">
      <c r="A61" s="7">
        <v>45684</v>
      </c>
      <c r="B61" s="8" t="s">
        <v>13</v>
      </c>
      <c r="C61" s="8" t="s">
        <v>111</v>
      </c>
      <c r="E61" s="8" t="s">
        <v>32</v>
      </c>
      <c r="F61" s="9">
        <v>6500</v>
      </c>
      <c r="G61" s="9"/>
    </row>
    <row r="62" spans="1:7" x14ac:dyDescent="0.25">
      <c r="A62" s="7">
        <v>45684</v>
      </c>
      <c r="B62" s="8" t="s">
        <v>13</v>
      </c>
      <c r="C62" s="8" t="s">
        <v>112</v>
      </c>
      <c r="E62" s="8" t="s">
        <v>55</v>
      </c>
      <c r="F62" s="9">
        <v>20000</v>
      </c>
      <c r="G62" s="9"/>
    </row>
    <row r="63" spans="1:7" x14ac:dyDescent="0.25">
      <c r="A63" s="7">
        <v>45684</v>
      </c>
      <c r="B63" s="8" t="s">
        <v>13</v>
      </c>
      <c r="C63" s="8" t="s">
        <v>20</v>
      </c>
      <c r="E63" s="8" t="s">
        <v>28</v>
      </c>
      <c r="F63" s="9">
        <v>1100</v>
      </c>
      <c r="G63" s="9"/>
    </row>
    <row r="64" spans="1:7" x14ac:dyDescent="0.25">
      <c r="A64" s="7">
        <v>45684</v>
      </c>
      <c r="B64" s="8" t="s">
        <v>14</v>
      </c>
      <c r="C64" s="8" t="s">
        <v>25</v>
      </c>
      <c r="E64" s="8" t="s">
        <v>27</v>
      </c>
      <c r="F64" s="9">
        <v>1100</v>
      </c>
      <c r="G64" s="9"/>
    </row>
    <row r="65" spans="1:7" x14ac:dyDescent="0.25">
      <c r="A65" s="7">
        <v>45684</v>
      </c>
      <c r="B65" s="8" t="s">
        <v>13</v>
      </c>
      <c r="C65" s="8" t="s">
        <v>25</v>
      </c>
      <c r="E65" s="8" t="s">
        <v>28</v>
      </c>
      <c r="F65" s="9">
        <v>400</v>
      </c>
      <c r="G65" s="9"/>
    </row>
    <row r="66" spans="1:7" x14ac:dyDescent="0.25">
      <c r="A66" s="7">
        <v>45684</v>
      </c>
      <c r="B66" s="8" t="s">
        <v>13</v>
      </c>
      <c r="C66" s="8" t="s">
        <v>25</v>
      </c>
      <c r="E66" s="8" t="s">
        <v>47</v>
      </c>
      <c r="F66" s="9">
        <v>2700</v>
      </c>
      <c r="G66" s="9"/>
    </row>
    <row r="67" spans="1:7" x14ac:dyDescent="0.25">
      <c r="A67" s="7">
        <v>45684</v>
      </c>
      <c r="B67" s="8" t="s">
        <v>14</v>
      </c>
      <c r="D67" s="8" t="s">
        <v>68</v>
      </c>
      <c r="E67" s="8" t="s">
        <v>75</v>
      </c>
      <c r="F67" s="9"/>
      <c r="G67" s="9">
        <f>50000+47828</f>
        <v>97828</v>
      </c>
    </row>
    <row r="68" spans="1:7" x14ac:dyDescent="0.25">
      <c r="A68" s="7">
        <v>45684</v>
      </c>
      <c r="B68" s="8" t="s">
        <v>14</v>
      </c>
      <c r="C68" s="8" t="s">
        <v>112</v>
      </c>
      <c r="E68" s="8" t="s">
        <v>133</v>
      </c>
      <c r="F68" s="9">
        <v>23270</v>
      </c>
      <c r="G68" s="9"/>
    </row>
    <row r="69" spans="1:7" x14ac:dyDescent="0.25">
      <c r="A69" s="7">
        <v>45684</v>
      </c>
      <c r="B69" s="8" t="s">
        <v>14</v>
      </c>
      <c r="C69" s="8" t="s">
        <v>21</v>
      </c>
      <c r="E69" s="8" t="s">
        <v>132</v>
      </c>
      <c r="F69" s="9">
        <f>47828-23270</f>
        <v>24558</v>
      </c>
      <c r="G69" s="9"/>
    </row>
    <row r="70" spans="1:7" x14ac:dyDescent="0.25">
      <c r="A70" s="7">
        <v>45685</v>
      </c>
      <c r="B70" s="8" t="s">
        <v>136</v>
      </c>
      <c r="D70" s="8" t="s">
        <v>69</v>
      </c>
      <c r="E70" s="8" t="s">
        <v>74</v>
      </c>
      <c r="F70" s="9"/>
      <c r="G70" s="9">
        <v>57500</v>
      </c>
    </row>
    <row r="71" spans="1:7" x14ac:dyDescent="0.25">
      <c r="A71" s="7">
        <v>45687</v>
      </c>
      <c r="B71" s="8" t="s">
        <v>15</v>
      </c>
      <c r="C71" s="8" t="s">
        <v>23</v>
      </c>
      <c r="E71" s="8" t="s">
        <v>57</v>
      </c>
      <c r="F71" s="9">
        <v>600</v>
      </c>
      <c r="G71" s="9"/>
    </row>
    <row r="72" spans="1:7" x14ac:dyDescent="0.25">
      <c r="A72" s="7">
        <v>45687</v>
      </c>
      <c r="B72" s="8" t="s">
        <v>13</v>
      </c>
      <c r="C72" s="8" t="s">
        <v>111</v>
      </c>
      <c r="E72" s="8" t="s">
        <v>39</v>
      </c>
      <c r="F72" s="9">
        <v>6721</v>
      </c>
      <c r="G72" s="9"/>
    </row>
    <row r="73" spans="1:7" x14ac:dyDescent="0.25">
      <c r="A73" s="7">
        <v>45687</v>
      </c>
      <c r="B73" s="8" t="s">
        <v>136</v>
      </c>
      <c r="C73" s="8" t="s">
        <v>113</v>
      </c>
      <c r="E73" s="8" t="s">
        <v>104</v>
      </c>
      <c r="F73" s="9">
        <v>3500</v>
      </c>
      <c r="G73" s="9"/>
    </row>
    <row r="74" spans="1:7" x14ac:dyDescent="0.25">
      <c r="A74" s="7">
        <v>45687</v>
      </c>
      <c r="B74" s="8" t="s">
        <v>136</v>
      </c>
      <c r="C74" s="8" t="s">
        <v>112</v>
      </c>
      <c r="E74" s="8" t="s">
        <v>56</v>
      </c>
      <c r="F74" s="9">
        <v>43500</v>
      </c>
      <c r="G74" s="9"/>
    </row>
    <row r="75" spans="1:7" x14ac:dyDescent="0.25">
      <c r="A75" s="7">
        <v>45688</v>
      </c>
      <c r="B75" s="8" t="s">
        <v>13</v>
      </c>
      <c r="C75" s="8" t="s">
        <v>26</v>
      </c>
      <c r="E75" s="8" t="s">
        <v>30</v>
      </c>
      <c r="F75" s="9">
        <v>4000</v>
      </c>
      <c r="G75" s="9"/>
    </row>
    <row r="76" spans="1:7" x14ac:dyDescent="0.25">
      <c r="A76" s="7">
        <v>45690</v>
      </c>
      <c r="B76" s="8" t="s">
        <v>15</v>
      </c>
      <c r="C76" s="8" t="s">
        <v>21</v>
      </c>
      <c r="E76" s="8" t="s">
        <v>81</v>
      </c>
      <c r="F76" s="9">
        <v>500</v>
      </c>
      <c r="G76" s="9"/>
    </row>
    <row r="77" spans="1:7" x14ac:dyDescent="0.25">
      <c r="A77" s="7">
        <v>45690</v>
      </c>
      <c r="B77" s="8" t="s">
        <v>16</v>
      </c>
      <c r="C77" s="8" t="s">
        <v>21</v>
      </c>
      <c r="E77" s="8" t="s">
        <v>81</v>
      </c>
      <c r="F77" s="9">
        <v>500</v>
      </c>
      <c r="G77" s="9"/>
    </row>
    <row r="78" spans="1:7" x14ac:dyDescent="0.25">
      <c r="A78" s="7">
        <v>45690</v>
      </c>
      <c r="B78" s="8" t="s">
        <v>13</v>
      </c>
      <c r="C78" s="8" t="s">
        <v>111</v>
      </c>
      <c r="E78" s="8" t="s">
        <v>32</v>
      </c>
      <c r="F78" s="9">
        <v>5500</v>
      </c>
      <c r="G78" s="9"/>
    </row>
    <row r="79" spans="1:7" x14ac:dyDescent="0.25">
      <c r="A79" s="7">
        <v>45690</v>
      </c>
      <c r="B79" s="8" t="s">
        <v>13</v>
      </c>
      <c r="C79" s="8" t="s">
        <v>25</v>
      </c>
      <c r="E79" s="8" t="s">
        <v>33</v>
      </c>
      <c r="F79" s="9">
        <v>3000</v>
      </c>
      <c r="G79" s="9"/>
    </row>
    <row r="80" spans="1:7" x14ac:dyDescent="0.25">
      <c r="A80" s="7">
        <v>45691</v>
      </c>
      <c r="B80" s="8" t="s">
        <v>13</v>
      </c>
      <c r="C80" s="8" t="s">
        <v>20</v>
      </c>
      <c r="E80" s="8" t="s">
        <v>62</v>
      </c>
      <c r="F80" s="9">
        <v>1100</v>
      </c>
      <c r="G80" s="9"/>
    </row>
    <row r="81" spans="1:7" x14ac:dyDescent="0.25">
      <c r="A81" s="7">
        <v>45691</v>
      </c>
      <c r="B81" s="8" t="s">
        <v>14</v>
      </c>
      <c r="C81" s="8" t="s">
        <v>25</v>
      </c>
      <c r="E81" s="8" t="s">
        <v>27</v>
      </c>
      <c r="F81" s="9">
        <v>2100</v>
      </c>
      <c r="G81" s="9"/>
    </row>
    <row r="82" spans="1:7" x14ac:dyDescent="0.25">
      <c r="A82" s="7">
        <v>45691</v>
      </c>
      <c r="B82" s="8" t="s">
        <v>13</v>
      </c>
      <c r="C82" s="8" t="s">
        <v>25</v>
      </c>
      <c r="E82" s="8" t="s">
        <v>63</v>
      </c>
      <c r="F82" s="9">
        <v>400</v>
      </c>
      <c r="G82" s="9"/>
    </row>
    <row r="83" spans="1:7" x14ac:dyDescent="0.25">
      <c r="A83" s="7">
        <v>45692</v>
      </c>
      <c r="B83" s="8" t="s">
        <v>13</v>
      </c>
      <c r="C83" s="8" t="s">
        <v>18</v>
      </c>
      <c r="E83" s="8" t="s">
        <v>58</v>
      </c>
      <c r="F83" s="9">
        <v>5000</v>
      </c>
      <c r="G83" s="9"/>
    </row>
    <row r="84" spans="1:7" x14ac:dyDescent="0.25">
      <c r="A84" s="7">
        <v>45692</v>
      </c>
      <c r="B84" s="8" t="s">
        <v>136</v>
      </c>
      <c r="D84" s="8" t="s">
        <v>69</v>
      </c>
      <c r="E84" s="8" t="s">
        <v>127</v>
      </c>
      <c r="F84" s="9"/>
      <c r="G84" s="9">
        <v>10000</v>
      </c>
    </row>
    <row r="85" spans="1:7" x14ac:dyDescent="0.25">
      <c r="A85" s="7">
        <v>45692</v>
      </c>
      <c r="B85" s="8" t="s">
        <v>136</v>
      </c>
      <c r="C85" s="8" t="s">
        <v>49</v>
      </c>
      <c r="E85" s="8" t="s">
        <v>128</v>
      </c>
      <c r="F85" s="9">
        <v>10000</v>
      </c>
      <c r="G85" s="9"/>
    </row>
    <row r="86" spans="1:7" x14ac:dyDescent="0.25">
      <c r="A86" s="7">
        <v>45693</v>
      </c>
      <c r="B86" s="8" t="s">
        <v>13</v>
      </c>
      <c r="C86" s="8" t="s">
        <v>18</v>
      </c>
      <c r="E86" s="8" t="s">
        <v>58</v>
      </c>
      <c r="F86" s="9">
        <v>650</v>
      </c>
      <c r="G86" s="9"/>
    </row>
    <row r="87" spans="1:7" x14ac:dyDescent="0.25">
      <c r="A87" s="7">
        <v>45695</v>
      </c>
      <c r="B87" s="8" t="s">
        <v>15</v>
      </c>
      <c r="C87" s="8" t="s">
        <v>23</v>
      </c>
      <c r="E87" s="8" t="s">
        <v>61</v>
      </c>
      <c r="F87" s="9">
        <v>550</v>
      </c>
      <c r="G87" s="9"/>
    </row>
    <row r="88" spans="1:7" x14ac:dyDescent="0.25">
      <c r="A88" s="7">
        <v>45695</v>
      </c>
      <c r="B88" s="8" t="s">
        <v>13</v>
      </c>
      <c r="C88" s="8" t="s">
        <v>20</v>
      </c>
      <c r="E88" s="8" t="s">
        <v>60</v>
      </c>
      <c r="F88" s="9">
        <v>1000</v>
      </c>
      <c r="G88" s="9"/>
    </row>
    <row r="89" spans="1:7" x14ac:dyDescent="0.25">
      <c r="A89" s="7">
        <v>45695</v>
      </c>
      <c r="B89" s="8" t="s">
        <v>13</v>
      </c>
      <c r="C89" s="8" t="s">
        <v>18</v>
      </c>
      <c r="E89" s="8" t="s">
        <v>58</v>
      </c>
      <c r="F89" s="9">
        <v>500</v>
      </c>
      <c r="G89" s="9"/>
    </row>
    <row r="90" spans="1:7" x14ac:dyDescent="0.25">
      <c r="A90" s="7">
        <v>45695</v>
      </c>
      <c r="B90" s="8" t="s">
        <v>13</v>
      </c>
      <c r="C90" s="8" t="s">
        <v>26</v>
      </c>
      <c r="E90" s="8" t="s">
        <v>30</v>
      </c>
      <c r="F90" s="9">
        <v>1000</v>
      </c>
      <c r="G90" s="9"/>
    </row>
    <row r="91" spans="1:7" x14ac:dyDescent="0.25">
      <c r="A91" s="7">
        <v>45695</v>
      </c>
      <c r="B91" s="8" t="s">
        <v>14</v>
      </c>
      <c r="C91" s="8" t="s">
        <v>25</v>
      </c>
      <c r="E91" s="8" t="s">
        <v>59</v>
      </c>
      <c r="F91" s="9">
        <v>1000</v>
      </c>
      <c r="G91" s="9"/>
    </row>
    <row r="92" spans="1:7" x14ac:dyDescent="0.25">
      <c r="A92" s="7">
        <v>45695</v>
      </c>
      <c r="B92" s="8" t="s">
        <v>13</v>
      </c>
      <c r="C92" s="8" t="s">
        <v>25</v>
      </c>
      <c r="E92" s="8" t="s">
        <v>47</v>
      </c>
      <c r="F92" s="9">
        <v>1200</v>
      </c>
      <c r="G92" s="9"/>
    </row>
    <row r="93" spans="1:7" x14ac:dyDescent="0.25">
      <c r="A93" s="7">
        <v>45695</v>
      </c>
      <c r="B93" s="8" t="s">
        <v>136</v>
      </c>
      <c r="D93" s="8" t="s">
        <v>69</v>
      </c>
      <c r="E93" s="8" t="s">
        <v>76</v>
      </c>
      <c r="F93" s="9"/>
      <c r="G93" s="9">
        <v>50000</v>
      </c>
    </row>
    <row r="94" spans="1:7" x14ac:dyDescent="0.25">
      <c r="A94" s="7">
        <v>45696</v>
      </c>
      <c r="B94" s="8" t="s">
        <v>13</v>
      </c>
      <c r="C94" s="8" t="s">
        <v>111</v>
      </c>
      <c r="E94" s="8" t="s">
        <v>32</v>
      </c>
      <c r="F94" s="9">
        <v>11514</v>
      </c>
      <c r="G94" s="9"/>
    </row>
    <row r="95" spans="1:7" x14ac:dyDescent="0.25">
      <c r="A95" s="7">
        <v>45696</v>
      </c>
      <c r="B95" s="8" t="s">
        <v>13</v>
      </c>
      <c r="C95" s="8" t="s">
        <v>25</v>
      </c>
      <c r="E95" s="8" t="s">
        <v>33</v>
      </c>
      <c r="F95" s="9">
        <v>3000</v>
      </c>
      <c r="G95" s="9"/>
    </row>
    <row r="96" spans="1:7" x14ac:dyDescent="0.25">
      <c r="A96" s="7">
        <v>45696</v>
      </c>
      <c r="B96" s="8" t="s">
        <v>136</v>
      </c>
      <c r="C96" s="8" t="s">
        <v>49</v>
      </c>
      <c r="E96" s="8" t="s">
        <v>80</v>
      </c>
      <c r="F96" s="9">
        <v>17000</v>
      </c>
      <c r="G96" s="9"/>
    </row>
    <row r="97" spans="1:7" x14ac:dyDescent="0.25">
      <c r="A97" s="7">
        <v>45697</v>
      </c>
      <c r="B97" s="8" t="s">
        <v>13</v>
      </c>
      <c r="C97" s="8" t="s">
        <v>111</v>
      </c>
      <c r="E97" s="8" t="s">
        <v>88</v>
      </c>
      <c r="F97" s="9">
        <v>750</v>
      </c>
      <c r="G97" s="9"/>
    </row>
    <row r="98" spans="1:7" x14ac:dyDescent="0.25">
      <c r="A98" s="7">
        <v>45697</v>
      </c>
      <c r="B98" s="8" t="s">
        <v>13</v>
      </c>
      <c r="C98" s="8" t="s">
        <v>111</v>
      </c>
      <c r="E98" s="8" t="s">
        <v>39</v>
      </c>
      <c r="F98" s="9">
        <v>1600</v>
      </c>
      <c r="G98" s="9"/>
    </row>
    <row r="99" spans="1:7" x14ac:dyDescent="0.25">
      <c r="A99" s="7">
        <v>45698</v>
      </c>
      <c r="B99" s="8" t="s">
        <v>15</v>
      </c>
      <c r="C99" s="8" t="s">
        <v>23</v>
      </c>
      <c r="E99" s="8" t="s">
        <v>90</v>
      </c>
      <c r="F99" s="9">
        <f>1800+100</f>
        <v>1900</v>
      </c>
      <c r="G99" s="9"/>
    </row>
    <row r="100" spans="1:7" x14ac:dyDescent="0.25">
      <c r="A100" s="7">
        <v>45698</v>
      </c>
      <c r="B100" s="8" t="s">
        <v>16</v>
      </c>
      <c r="C100" s="8" t="s">
        <v>23</v>
      </c>
      <c r="E100" s="8" t="s">
        <v>90</v>
      </c>
      <c r="F100" s="9">
        <f>1800+50</f>
        <v>1850</v>
      </c>
      <c r="G100" s="9"/>
    </row>
    <row r="101" spans="1:7" x14ac:dyDescent="0.25">
      <c r="A101" s="7">
        <v>45698</v>
      </c>
      <c r="B101" s="8" t="s">
        <v>14</v>
      </c>
      <c r="C101" s="8" t="s">
        <v>21</v>
      </c>
      <c r="E101" s="8" t="s">
        <v>93</v>
      </c>
      <c r="F101" s="9">
        <v>35000</v>
      </c>
      <c r="G101" s="9"/>
    </row>
    <row r="102" spans="1:7" x14ac:dyDescent="0.25">
      <c r="A102" s="7">
        <v>45698</v>
      </c>
      <c r="B102" s="8" t="s">
        <v>13</v>
      </c>
      <c r="C102" s="8" t="s">
        <v>4</v>
      </c>
      <c r="E102" s="8" t="s">
        <v>91</v>
      </c>
      <c r="F102" s="9">
        <v>1000</v>
      </c>
      <c r="G102" s="9"/>
    </row>
    <row r="103" spans="1:7" x14ac:dyDescent="0.25">
      <c r="A103" s="7">
        <v>45698</v>
      </c>
      <c r="B103" s="8" t="s">
        <v>13</v>
      </c>
      <c r="C103" s="8" t="s">
        <v>2</v>
      </c>
      <c r="E103" s="8" t="s">
        <v>96</v>
      </c>
      <c r="F103" s="9">
        <v>4626</v>
      </c>
      <c r="G103" s="9"/>
    </row>
    <row r="104" spans="1:7" x14ac:dyDescent="0.25">
      <c r="A104" s="7">
        <v>45698</v>
      </c>
      <c r="B104" s="8" t="s">
        <v>13</v>
      </c>
      <c r="C104" s="8" t="s">
        <v>113</v>
      </c>
      <c r="E104" s="8" t="s">
        <v>40</v>
      </c>
      <c r="F104" s="9">
        <v>10500</v>
      </c>
      <c r="G104" s="9"/>
    </row>
    <row r="105" spans="1:7" x14ac:dyDescent="0.25">
      <c r="A105" s="7">
        <v>45698</v>
      </c>
      <c r="B105" s="8" t="s">
        <v>13</v>
      </c>
      <c r="C105" s="8" t="s">
        <v>5</v>
      </c>
      <c r="E105" s="8" t="s">
        <v>94</v>
      </c>
      <c r="F105" s="9">
        <f>2685+1686+1399+689.17</f>
        <v>6459.17</v>
      </c>
      <c r="G105" s="9"/>
    </row>
    <row r="106" spans="1:7" x14ac:dyDescent="0.25">
      <c r="A106" s="7">
        <v>45698</v>
      </c>
      <c r="B106" s="8" t="s">
        <v>13</v>
      </c>
      <c r="C106" s="8" t="s">
        <v>20</v>
      </c>
      <c r="E106" s="8" t="s">
        <v>60</v>
      </c>
      <c r="F106" s="9">
        <v>700</v>
      </c>
      <c r="G106" s="9"/>
    </row>
    <row r="107" spans="1:7" x14ac:dyDescent="0.25">
      <c r="A107" s="7">
        <v>45698</v>
      </c>
      <c r="B107" s="8" t="s">
        <v>13</v>
      </c>
      <c r="C107" s="8" t="s">
        <v>111</v>
      </c>
      <c r="E107" s="8" t="s">
        <v>86</v>
      </c>
      <c r="F107" s="9">
        <v>600</v>
      </c>
      <c r="G107" s="9"/>
    </row>
    <row r="108" spans="1:7" x14ac:dyDescent="0.25">
      <c r="A108" s="7">
        <v>45698</v>
      </c>
      <c r="B108" s="8" t="s">
        <v>14</v>
      </c>
      <c r="C108" s="8" t="s">
        <v>24</v>
      </c>
      <c r="E108" s="8" t="s">
        <v>89</v>
      </c>
      <c r="F108" s="9">
        <v>1800</v>
      </c>
      <c r="G108" s="9"/>
    </row>
    <row r="109" spans="1:7" x14ac:dyDescent="0.25">
      <c r="A109" s="7">
        <v>45698</v>
      </c>
      <c r="B109" s="8" t="s">
        <v>14</v>
      </c>
      <c r="C109" s="8" t="s">
        <v>24</v>
      </c>
      <c r="E109" s="8" t="s">
        <v>92</v>
      </c>
      <c r="F109" s="9">
        <v>1700</v>
      </c>
      <c r="G109" s="9"/>
    </row>
    <row r="110" spans="1:7" x14ac:dyDescent="0.25">
      <c r="A110" s="7">
        <v>45698</v>
      </c>
      <c r="B110" s="8" t="s">
        <v>9</v>
      </c>
      <c r="C110" s="8" t="s">
        <v>25</v>
      </c>
      <c r="E110" s="8" t="s">
        <v>59</v>
      </c>
      <c r="F110" s="9">
        <v>2000</v>
      </c>
      <c r="G110" s="9"/>
    </row>
    <row r="111" spans="1:7" x14ac:dyDescent="0.25">
      <c r="A111" s="7">
        <v>45698</v>
      </c>
      <c r="B111" s="8" t="s">
        <v>13</v>
      </c>
      <c r="C111" s="8" t="s">
        <v>3</v>
      </c>
      <c r="E111" s="8" t="s">
        <v>95</v>
      </c>
      <c r="F111" s="9">
        <v>4000</v>
      </c>
      <c r="G111" s="9"/>
    </row>
    <row r="112" spans="1:7" x14ac:dyDescent="0.25">
      <c r="A112" s="7">
        <v>45698</v>
      </c>
      <c r="B112" s="8" t="s">
        <v>13</v>
      </c>
      <c r="D112" s="8" t="s">
        <v>68</v>
      </c>
      <c r="E112" s="8" t="s">
        <v>73</v>
      </c>
      <c r="F112" s="9"/>
      <c r="G112" s="9">
        <v>183000</v>
      </c>
    </row>
    <row r="113" spans="1:7" x14ac:dyDescent="0.25">
      <c r="A113" s="7">
        <v>45699</v>
      </c>
      <c r="B113" s="8" t="s">
        <v>136</v>
      </c>
      <c r="C113" s="8" t="s">
        <v>49</v>
      </c>
      <c r="E113" s="8" t="s">
        <v>98</v>
      </c>
      <c r="F113" s="9">
        <v>22000</v>
      </c>
      <c r="G113" s="9"/>
    </row>
    <row r="114" spans="1:7" x14ac:dyDescent="0.25">
      <c r="A114" s="7">
        <v>45700</v>
      </c>
      <c r="B114" s="8" t="s">
        <v>13</v>
      </c>
      <c r="C114" s="8" t="s">
        <v>111</v>
      </c>
      <c r="E114" s="8" t="s">
        <v>85</v>
      </c>
      <c r="F114" s="9">
        <v>700</v>
      </c>
      <c r="G114" s="9"/>
    </row>
    <row r="115" spans="1:7" x14ac:dyDescent="0.25">
      <c r="A115" s="7">
        <v>45700</v>
      </c>
      <c r="B115" s="8" t="s">
        <v>136</v>
      </c>
      <c r="C115" s="8" t="s">
        <v>49</v>
      </c>
      <c r="E115" s="8" t="s">
        <v>99</v>
      </c>
      <c r="F115" s="9">
        <v>48000</v>
      </c>
      <c r="G115" s="9"/>
    </row>
    <row r="116" spans="1:7" x14ac:dyDescent="0.25">
      <c r="A116" s="7">
        <v>45700</v>
      </c>
      <c r="B116" s="8" t="s">
        <v>136</v>
      </c>
      <c r="C116" s="8" t="s">
        <v>49</v>
      </c>
      <c r="E116" s="8" t="s">
        <v>100</v>
      </c>
      <c r="F116" s="9">
        <v>1200</v>
      </c>
      <c r="G116" s="9"/>
    </row>
    <row r="117" spans="1:7" x14ac:dyDescent="0.25">
      <c r="A117" s="7">
        <v>45700</v>
      </c>
      <c r="B117" s="8" t="s">
        <v>136</v>
      </c>
      <c r="C117" s="8" t="s">
        <v>49</v>
      </c>
      <c r="E117" s="8" t="s">
        <v>101</v>
      </c>
      <c r="F117" s="9">
        <v>10500</v>
      </c>
      <c r="G117" s="9"/>
    </row>
    <row r="118" spans="1:7" x14ac:dyDescent="0.25">
      <c r="A118" s="7">
        <v>45700</v>
      </c>
      <c r="B118" s="8" t="s">
        <v>136</v>
      </c>
      <c r="C118" s="8" t="s">
        <v>49</v>
      </c>
      <c r="E118" s="8" t="s">
        <v>103</v>
      </c>
      <c r="F118" s="9">
        <v>6000</v>
      </c>
      <c r="G118" s="9"/>
    </row>
    <row r="119" spans="1:7" x14ac:dyDescent="0.25">
      <c r="A119" s="7">
        <v>45701</v>
      </c>
      <c r="B119" s="8" t="s">
        <v>15</v>
      </c>
      <c r="C119" s="8" t="s">
        <v>23</v>
      </c>
      <c r="E119" s="8" t="s">
        <v>102</v>
      </c>
      <c r="F119" s="9">
        <v>125</v>
      </c>
      <c r="G119" s="9"/>
    </row>
    <row r="120" spans="1:7" x14ac:dyDescent="0.25">
      <c r="A120" s="7">
        <v>45701</v>
      </c>
      <c r="B120" s="8" t="s">
        <v>13</v>
      </c>
      <c r="C120" s="8" t="s">
        <v>20</v>
      </c>
      <c r="E120" s="8" t="s">
        <v>62</v>
      </c>
      <c r="F120" s="9">
        <v>720</v>
      </c>
      <c r="G120" s="9"/>
    </row>
    <row r="121" spans="1:7" x14ac:dyDescent="0.25">
      <c r="A121" s="7">
        <v>45701</v>
      </c>
      <c r="B121" s="8" t="s">
        <v>14</v>
      </c>
      <c r="C121" s="8" t="s">
        <v>25</v>
      </c>
      <c r="E121" s="8" t="s">
        <v>27</v>
      </c>
      <c r="F121" s="9">
        <v>1000</v>
      </c>
      <c r="G121" s="9"/>
    </row>
    <row r="122" spans="1:7" x14ac:dyDescent="0.25">
      <c r="A122" s="7">
        <v>45701</v>
      </c>
      <c r="B122" s="8" t="s">
        <v>13</v>
      </c>
      <c r="C122" s="8" t="s">
        <v>25</v>
      </c>
      <c r="E122" s="8" t="s">
        <v>63</v>
      </c>
      <c r="F122" s="9">
        <v>300</v>
      </c>
      <c r="G122" s="9"/>
    </row>
    <row r="123" spans="1:7" x14ac:dyDescent="0.25">
      <c r="A123" s="7">
        <v>45702</v>
      </c>
      <c r="B123" s="8" t="s">
        <v>13</v>
      </c>
      <c r="C123" s="8" t="s">
        <v>26</v>
      </c>
      <c r="E123" s="8" t="s">
        <v>30</v>
      </c>
      <c r="F123" s="9">
        <v>2000</v>
      </c>
      <c r="G123" s="9"/>
    </row>
    <row r="124" spans="1:7" x14ac:dyDescent="0.25">
      <c r="A124" s="7">
        <v>45703</v>
      </c>
      <c r="B124" s="8" t="s">
        <v>13</v>
      </c>
      <c r="C124" s="8" t="s">
        <v>111</v>
      </c>
      <c r="E124" s="8" t="s">
        <v>32</v>
      </c>
      <c r="F124" s="9">
        <v>5600</v>
      </c>
      <c r="G124" s="9"/>
    </row>
    <row r="125" spans="1:7" x14ac:dyDescent="0.25">
      <c r="A125" s="7">
        <v>45703</v>
      </c>
      <c r="B125" s="8" t="s">
        <v>13</v>
      </c>
      <c r="C125" s="8" t="s">
        <v>18</v>
      </c>
      <c r="E125" s="8" t="s">
        <v>105</v>
      </c>
      <c r="F125" s="9">
        <v>350</v>
      </c>
      <c r="G125" s="9"/>
    </row>
    <row r="126" spans="1:7" x14ac:dyDescent="0.25">
      <c r="A126" s="7">
        <v>45703</v>
      </c>
      <c r="B126" s="8" t="s">
        <v>13</v>
      </c>
      <c r="C126" s="8" t="s">
        <v>25</v>
      </c>
      <c r="E126" s="8" t="s">
        <v>33</v>
      </c>
      <c r="F126" s="9">
        <v>2000</v>
      </c>
      <c r="G126" s="9"/>
    </row>
    <row r="127" spans="1:7" x14ac:dyDescent="0.25">
      <c r="A127" s="7">
        <v>45705</v>
      </c>
      <c r="B127" s="8" t="s">
        <v>13</v>
      </c>
      <c r="C127" s="8" t="s">
        <v>20</v>
      </c>
      <c r="E127" s="8" t="s">
        <v>62</v>
      </c>
      <c r="F127" s="9">
        <v>1000</v>
      </c>
      <c r="G127" s="9"/>
    </row>
    <row r="128" spans="1:7" x14ac:dyDescent="0.25">
      <c r="A128" s="7">
        <v>45705</v>
      </c>
      <c r="B128" s="8" t="s">
        <v>14</v>
      </c>
      <c r="C128" s="8" t="s">
        <v>25</v>
      </c>
      <c r="E128" s="8" t="s">
        <v>27</v>
      </c>
      <c r="F128" s="9">
        <v>2100</v>
      </c>
      <c r="G128" s="9"/>
    </row>
    <row r="129" spans="1:7" x14ac:dyDescent="0.25">
      <c r="A129" s="7">
        <v>45705</v>
      </c>
      <c r="B129" s="8" t="s">
        <v>13</v>
      </c>
      <c r="C129" s="8" t="s">
        <v>25</v>
      </c>
      <c r="E129" s="8" t="s">
        <v>63</v>
      </c>
      <c r="F129" s="9">
        <v>720</v>
      </c>
      <c r="G129" s="9"/>
    </row>
    <row r="130" spans="1:7" x14ac:dyDescent="0.25">
      <c r="A130" s="7">
        <v>45706</v>
      </c>
      <c r="B130" s="8" t="s">
        <v>136</v>
      </c>
      <c r="C130" s="8" t="s">
        <v>49</v>
      </c>
      <c r="E130" s="8" t="s">
        <v>106</v>
      </c>
      <c r="F130" s="9">
        <v>16500</v>
      </c>
      <c r="G130" s="9"/>
    </row>
    <row r="131" spans="1:7" x14ac:dyDescent="0.25">
      <c r="A131" s="7">
        <v>45706</v>
      </c>
      <c r="B131" s="8" t="s">
        <v>136</v>
      </c>
      <c r="D131" s="8" t="s">
        <v>69</v>
      </c>
      <c r="E131" s="8" t="s">
        <v>108</v>
      </c>
      <c r="F131" s="9"/>
      <c r="G131" s="9">
        <v>16500</v>
      </c>
    </row>
    <row r="132" spans="1:7" x14ac:dyDescent="0.25">
      <c r="A132" s="7">
        <v>45708</v>
      </c>
      <c r="B132" s="8" t="s">
        <v>15</v>
      </c>
      <c r="C132" s="8" t="s">
        <v>23</v>
      </c>
      <c r="E132" s="8" t="s">
        <v>107</v>
      </c>
      <c r="F132" s="9">
        <v>575</v>
      </c>
      <c r="G132" s="9"/>
    </row>
    <row r="133" spans="1:7" x14ac:dyDescent="0.25">
      <c r="A133" s="7">
        <v>45708</v>
      </c>
      <c r="B133" s="8" t="s">
        <v>13</v>
      </c>
      <c r="C133" s="8" t="s">
        <v>111</v>
      </c>
      <c r="E133" s="8" t="s">
        <v>32</v>
      </c>
      <c r="F133" s="9">
        <v>8121</v>
      </c>
      <c r="G133" s="9"/>
    </row>
    <row r="134" spans="1:7" x14ac:dyDescent="0.25">
      <c r="A134" s="7">
        <v>45712</v>
      </c>
      <c r="B134" s="8" t="s">
        <v>13</v>
      </c>
      <c r="D134" s="8" t="s">
        <v>68</v>
      </c>
      <c r="E134" s="8" t="s">
        <v>121</v>
      </c>
      <c r="F134" s="9"/>
      <c r="G134" s="9">
        <v>35000</v>
      </c>
    </row>
    <row r="135" spans="1:7" x14ac:dyDescent="0.25">
      <c r="A135" s="7">
        <v>45712</v>
      </c>
      <c r="B135" s="8" t="s">
        <v>13</v>
      </c>
      <c r="C135" s="8" t="s">
        <v>20</v>
      </c>
      <c r="E135" s="8" t="s">
        <v>60</v>
      </c>
      <c r="F135" s="9">
        <v>1060</v>
      </c>
      <c r="G135" s="9"/>
    </row>
    <row r="136" spans="1:7" x14ac:dyDescent="0.25">
      <c r="A136" s="7">
        <v>45712</v>
      </c>
      <c r="B136" s="8" t="s">
        <v>13</v>
      </c>
      <c r="C136" s="8" t="s">
        <v>111</v>
      </c>
      <c r="E136" s="8" t="s">
        <v>85</v>
      </c>
      <c r="F136" s="9">
        <v>1220</v>
      </c>
      <c r="G136" s="9"/>
    </row>
    <row r="137" spans="1:7" x14ac:dyDescent="0.25">
      <c r="A137" s="7">
        <v>45712</v>
      </c>
      <c r="B137" s="8" t="s">
        <v>13</v>
      </c>
      <c r="C137" s="8" t="s">
        <v>25</v>
      </c>
      <c r="E137" s="8" t="s">
        <v>120</v>
      </c>
      <c r="F137" s="9">
        <v>2700</v>
      </c>
      <c r="G137" s="9"/>
    </row>
    <row r="138" spans="1:7" x14ac:dyDescent="0.25">
      <c r="A138" s="7">
        <v>45712</v>
      </c>
      <c r="B138" s="8" t="s">
        <v>14</v>
      </c>
      <c r="C138" s="8" t="s">
        <v>25</v>
      </c>
      <c r="E138" s="8" t="s">
        <v>27</v>
      </c>
      <c r="F138" s="9">
        <v>1485</v>
      </c>
      <c r="G138" s="9"/>
    </row>
    <row r="139" spans="1:7" x14ac:dyDescent="0.25">
      <c r="A139" s="7">
        <v>45712</v>
      </c>
      <c r="B139" s="8" t="s">
        <v>13</v>
      </c>
      <c r="C139" s="8" t="s">
        <v>20</v>
      </c>
      <c r="E139" s="8" t="s">
        <v>62</v>
      </c>
      <c r="F139" s="9">
        <v>800</v>
      </c>
      <c r="G139" s="9"/>
    </row>
    <row r="140" spans="1:7" x14ac:dyDescent="0.25">
      <c r="A140" s="7">
        <v>45712</v>
      </c>
      <c r="B140" s="8" t="s">
        <v>13</v>
      </c>
      <c r="C140" s="8" t="s">
        <v>25</v>
      </c>
      <c r="E140" s="8" t="s">
        <v>63</v>
      </c>
      <c r="F140" s="9">
        <f>140*5</f>
        <v>700</v>
      </c>
      <c r="G140" s="9"/>
    </row>
    <row r="141" spans="1:7" x14ac:dyDescent="0.25">
      <c r="A141" s="7">
        <v>45714</v>
      </c>
      <c r="B141" s="8" t="s">
        <v>13</v>
      </c>
      <c r="C141" s="8" t="s">
        <v>111</v>
      </c>
      <c r="E141" s="8" t="s">
        <v>85</v>
      </c>
      <c r="F141" s="9">
        <v>1265</v>
      </c>
      <c r="G141" s="9"/>
    </row>
    <row r="142" spans="1:7" x14ac:dyDescent="0.25">
      <c r="A142" s="7">
        <v>45714</v>
      </c>
      <c r="B142" s="8" t="s">
        <v>15</v>
      </c>
      <c r="C142" s="8" t="s">
        <v>23</v>
      </c>
      <c r="E142" s="8" t="s">
        <v>122</v>
      </c>
      <c r="F142" s="9">
        <v>970</v>
      </c>
      <c r="G142" s="9"/>
    </row>
    <row r="143" spans="1:7" x14ac:dyDescent="0.25">
      <c r="A143" s="7">
        <v>45714</v>
      </c>
      <c r="B143" s="8" t="s">
        <v>16</v>
      </c>
      <c r="C143" s="8" t="s">
        <v>23</v>
      </c>
      <c r="E143" s="8" t="s">
        <v>122</v>
      </c>
      <c r="F143" s="9">
        <v>970</v>
      </c>
      <c r="G143" s="9"/>
    </row>
    <row r="144" spans="1:7" x14ac:dyDescent="0.25">
      <c r="A144" s="7">
        <v>45715</v>
      </c>
      <c r="B144" s="8" t="s">
        <v>14</v>
      </c>
      <c r="D144" s="8" t="s">
        <v>68</v>
      </c>
      <c r="E144" s="8" t="s">
        <v>75</v>
      </c>
      <c r="F144" s="9"/>
      <c r="G144" s="9">
        <f>50000+51226</f>
        <v>101226</v>
      </c>
    </row>
    <row r="145" spans="1:7" x14ac:dyDescent="0.25">
      <c r="A145" s="7">
        <v>45715</v>
      </c>
      <c r="B145" s="8" t="s">
        <v>14</v>
      </c>
      <c r="C145" s="8" t="s">
        <v>112</v>
      </c>
      <c r="E145" s="8" t="s">
        <v>133</v>
      </c>
      <c r="F145" s="9">
        <v>23270</v>
      </c>
      <c r="G145" s="9"/>
    </row>
    <row r="146" spans="1:7" x14ac:dyDescent="0.25">
      <c r="A146" s="7">
        <v>45715</v>
      </c>
      <c r="B146" s="8" t="s">
        <v>14</v>
      </c>
      <c r="C146" s="8" t="s">
        <v>24</v>
      </c>
      <c r="E146" s="8" t="s">
        <v>131</v>
      </c>
      <c r="F146" s="9">
        <f>47828-23270-15000-3000</f>
        <v>6558</v>
      </c>
      <c r="G146" s="9"/>
    </row>
    <row r="147" spans="1:7" x14ac:dyDescent="0.25">
      <c r="A147" s="7">
        <v>45715</v>
      </c>
      <c r="B147" s="8" t="s">
        <v>14</v>
      </c>
      <c r="C147" s="8" t="s">
        <v>21</v>
      </c>
      <c r="E147" s="8" t="s">
        <v>132</v>
      </c>
      <c r="F147" s="9">
        <f>5000+10000</f>
        <v>15000</v>
      </c>
      <c r="G147" s="9"/>
    </row>
    <row r="148" spans="1:7" x14ac:dyDescent="0.25">
      <c r="A148" s="7">
        <v>45715</v>
      </c>
      <c r="B148" s="8" t="s">
        <v>14</v>
      </c>
      <c r="C148" s="8" t="s">
        <v>21</v>
      </c>
      <c r="E148" s="8" t="s">
        <v>134</v>
      </c>
      <c r="F148" s="9">
        <v>3000</v>
      </c>
      <c r="G148" s="9"/>
    </row>
    <row r="149" spans="1:7" x14ac:dyDescent="0.25">
      <c r="A149" s="7">
        <v>45715</v>
      </c>
      <c r="B149" s="8" t="s">
        <v>13</v>
      </c>
      <c r="C149" s="8" t="s">
        <v>25</v>
      </c>
      <c r="E149" s="8" t="s">
        <v>33</v>
      </c>
      <c r="F149" s="9">
        <v>2000</v>
      </c>
      <c r="G149" s="9"/>
    </row>
    <row r="150" spans="1:7" x14ac:dyDescent="0.25">
      <c r="A150" s="7">
        <v>45715</v>
      </c>
      <c r="B150" s="8" t="s">
        <v>9</v>
      </c>
      <c r="C150" s="8" t="s">
        <v>19</v>
      </c>
      <c r="E150" s="8" t="s">
        <v>123</v>
      </c>
      <c r="F150" s="9">
        <v>1450</v>
      </c>
      <c r="G150" s="9"/>
    </row>
    <row r="151" spans="1:7" x14ac:dyDescent="0.25">
      <c r="A151" s="7">
        <v>45715</v>
      </c>
      <c r="B151" s="8" t="s">
        <v>13</v>
      </c>
      <c r="C151" s="8" t="s">
        <v>26</v>
      </c>
      <c r="E151" s="8" t="s">
        <v>30</v>
      </c>
      <c r="F151" s="9">
        <v>4000</v>
      </c>
      <c r="G151" s="9"/>
    </row>
    <row r="152" spans="1:7" x14ac:dyDescent="0.25">
      <c r="A152" s="7">
        <v>45715</v>
      </c>
      <c r="B152" s="8" t="s">
        <v>13</v>
      </c>
      <c r="C152" s="8" t="s">
        <v>26</v>
      </c>
      <c r="E152" s="8" t="s">
        <v>124</v>
      </c>
      <c r="F152" s="9">
        <v>9000</v>
      </c>
      <c r="G152" s="9"/>
    </row>
    <row r="153" spans="1:7" x14ac:dyDescent="0.25">
      <c r="A153" s="7">
        <v>45715</v>
      </c>
      <c r="B153" s="8" t="s">
        <v>13</v>
      </c>
      <c r="C153" s="8" t="s">
        <v>111</v>
      </c>
      <c r="E153" s="8" t="s">
        <v>85</v>
      </c>
      <c r="F153" s="9">
        <v>580</v>
      </c>
      <c r="G153" s="9"/>
    </row>
    <row r="154" spans="1:7" x14ac:dyDescent="0.25">
      <c r="A154" s="7">
        <v>45716</v>
      </c>
      <c r="B154" s="8" t="s">
        <v>136</v>
      </c>
      <c r="D154" s="8" t="s">
        <v>69</v>
      </c>
      <c r="E154" s="8" t="s">
        <v>108</v>
      </c>
      <c r="F154" s="9"/>
      <c r="G154" s="9">
        <f>27700+20800</f>
        <v>48500</v>
      </c>
    </row>
    <row r="155" spans="1:7" x14ac:dyDescent="0.25">
      <c r="A155" s="7">
        <v>45716</v>
      </c>
      <c r="B155" s="8" t="s">
        <v>136</v>
      </c>
      <c r="C155" s="8" t="s">
        <v>115</v>
      </c>
      <c r="E155" s="8" t="s">
        <v>125</v>
      </c>
      <c r="F155" s="9">
        <v>27700</v>
      </c>
      <c r="G155" s="9"/>
    </row>
    <row r="156" spans="1:7" x14ac:dyDescent="0.25">
      <c r="A156" s="7">
        <v>45716</v>
      </c>
      <c r="B156" s="8" t="s">
        <v>136</v>
      </c>
      <c r="C156" s="8" t="s">
        <v>112</v>
      </c>
      <c r="E156" s="8" t="s">
        <v>56</v>
      </c>
      <c r="F156" s="9">
        <v>48000</v>
      </c>
      <c r="G156" s="9"/>
    </row>
    <row r="157" spans="1:7" x14ac:dyDescent="0.25">
      <c r="A157" s="7">
        <v>45717</v>
      </c>
      <c r="B157" s="8" t="s">
        <v>13</v>
      </c>
      <c r="C157" s="8" t="s">
        <v>20</v>
      </c>
      <c r="E157" s="8" t="s">
        <v>130</v>
      </c>
      <c r="F157" s="9">
        <v>320</v>
      </c>
      <c r="G157" s="9"/>
    </row>
    <row r="158" spans="1:7" x14ac:dyDescent="0.25">
      <c r="A158" s="7">
        <v>45718</v>
      </c>
      <c r="B158" s="8" t="s">
        <v>13</v>
      </c>
      <c r="C158" s="8" t="s">
        <v>111</v>
      </c>
      <c r="E158" s="8" t="s">
        <v>85</v>
      </c>
      <c r="F158" s="9">
        <f>10850-1050</f>
        <v>9800</v>
      </c>
      <c r="G158" s="9"/>
    </row>
    <row r="159" spans="1:7" x14ac:dyDescent="0.25">
      <c r="A159" s="7">
        <v>45718</v>
      </c>
      <c r="B159" s="8" t="s">
        <v>14</v>
      </c>
      <c r="C159" s="8" t="s">
        <v>1</v>
      </c>
      <c r="E159" s="8" t="s">
        <v>144</v>
      </c>
      <c r="F159" s="9">
        <f>540+510</f>
        <v>1050</v>
      </c>
      <c r="G159" s="9"/>
    </row>
    <row r="160" spans="1:7" x14ac:dyDescent="0.25">
      <c r="A160" s="7">
        <v>45719</v>
      </c>
      <c r="B160" s="8" t="s">
        <v>13</v>
      </c>
      <c r="C160" s="8" t="s">
        <v>25</v>
      </c>
      <c r="E160" s="8" t="s">
        <v>31</v>
      </c>
      <c r="F160" s="9">
        <v>1000</v>
      </c>
      <c r="G160" s="9"/>
    </row>
    <row r="161" spans="1:7" x14ac:dyDescent="0.25">
      <c r="A161" s="7">
        <v>45719</v>
      </c>
      <c r="B161" s="8" t="s">
        <v>14</v>
      </c>
      <c r="C161" s="8" t="s">
        <v>25</v>
      </c>
      <c r="E161" s="8" t="s">
        <v>27</v>
      </c>
      <c r="F161" s="9">
        <v>500</v>
      </c>
      <c r="G161" s="9"/>
    </row>
    <row r="162" spans="1:7" x14ac:dyDescent="0.25">
      <c r="A162" s="7">
        <v>45719</v>
      </c>
      <c r="B162" s="8" t="s">
        <v>13</v>
      </c>
      <c r="C162" s="8" t="s">
        <v>20</v>
      </c>
      <c r="E162" s="8" t="s">
        <v>62</v>
      </c>
      <c r="F162" s="9">
        <v>900</v>
      </c>
      <c r="G162" s="9"/>
    </row>
    <row r="163" spans="1:7" x14ac:dyDescent="0.25">
      <c r="A163" s="7">
        <v>45719</v>
      </c>
      <c r="B163" s="8" t="s">
        <v>13</v>
      </c>
      <c r="C163" s="8" t="s">
        <v>25</v>
      </c>
      <c r="E163" s="8" t="s">
        <v>139</v>
      </c>
      <c r="F163" s="9">
        <v>300</v>
      </c>
      <c r="G163" s="9"/>
    </row>
    <row r="164" spans="1:7" x14ac:dyDescent="0.25">
      <c r="A164" s="7">
        <v>45719</v>
      </c>
      <c r="B164" s="8" t="s">
        <v>13</v>
      </c>
      <c r="C164" s="8" t="s">
        <v>25</v>
      </c>
      <c r="E164" s="8" t="s">
        <v>140</v>
      </c>
      <c r="F164" s="9">
        <v>1500</v>
      </c>
      <c r="G164" s="9"/>
    </row>
    <row r="165" spans="1:7" x14ac:dyDescent="0.25">
      <c r="A165" s="7">
        <v>45721</v>
      </c>
      <c r="B165" s="8" t="s">
        <v>15</v>
      </c>
      <c r="C165" s="8" t="s">
        <v>23</v>
      </c>
      <c r="E165" s="8" t="s">
        <v>57</v>
      </c>
      <c r="F165" s="9">
        <v>145</v>
      </c>
      <c r="G165" s="9"/>
    </row>
    <row r="166" spans="1:7" x14ac:dyDescent="0.25">
      <c r="A166" s="7">
        <v>45723</v>
      </c>
      <c r="B166" s="8" t="s">
        <v>9</v>
      </c>
      <c r="C166" s="8" t="s">
        <v>26</v>
      </c>
      <c r="E166" s="8" t="s">
        <v>141</v>
      </c>
      <c r="F166" s="9">
        <v>800</v>
      </c>
      <c r="G166" s="9"/>
    </row>
    <row r="167" spans="1:7" x14ac:dyDescent="0.25">
      <c r="A167" s="7">
        <v>45723</v>
      </c>
      <c r="B167" s="8" t="s">
        <v>9</v>
      </c>
      <c r="C167" s="8" t="s">
        <v>26</v>
      </c>
      <c r="E167" s="8" t="s">
        <v>30</v>
      </c>
      <c r="F167" s="9">
        <v>1800</v>
      </c>
      <c r="G167" s="9"/>
    </row>
    <row r="168" spans="1:7" x14ac:dyDescent="0.25">
      <c r="A168" s="7">
        <v>45723</v>
      </c>
      <c r="B168" s="8" t="s">
        <v>13</v>
      </c>
      <c r="C168" s="8" t="s">
        <v>25</v>
      </c>
      <c r="E168" s="8" t="s">
        <v>47</v>
      </c>
      <c r="F168" s="9">
        <v>600</v>
      </c>
      <c r="G168" s="9"/>
    </row>
    <row r="169" spans="1:7" x14ac:dyDescent="0.25">
      <c r="A169" s="7">
        <v>45723</v>
      </c>
      <c r="B169" s="8" t="s">
        <v>13</v>
      </c>
      <c r="C169" s="8" t="s">
        <v>43</v>
      </c>
      <c r="E169" s="8" t="s">
        <v>43</v>
      </c>
      <c r="F169" s="9">
        <v>695</v>
      </c>
      <c r="G169" s="9"/>
    </row>
    <row r="170" spans="1:7" x14ac:dyDescent="0.25">
      <c r="A170" s="7">
        <v>45724</v>
      </c>
      <c r="B170" s="8" t="s">
        <v>13</v>
      </c>
      <c r="C170" s="8" t="s">
        <v>25</v>
      </c>
      <c r="E170" s="8" t="s">
        <v>143</v>
      </c>
      <c r="F170" s="9">
        <v>1000</v>
      </c>
      <c r="G170" s="9"/>
    </row>
    <row r="171" spans="1:7" x14ac:dyDescent="0.25">
      <c r="A171" s="7">
        <v>45724</v>
      </c>
      <c r="B171" s="8" t="s">
        <v>13</v>
      </c>
      <c r="C171" s="8" t="s">
        <v>111</v>
      </c>
      <c r="E171" s="8" t="s">
        <v>142</v>
      </c>
      <c r="F171" s="9">
        <v>3635</v>
      </c>
      <c r="G171" s="9"/>
    </row>
    <row r="172" spans="1:7" x14ac:dyDescent="0.25">
      <c r="A172" s="7">
        <v>45725</v>
      </c>
      <c r="B172" s="8" t="s">
        <v>13</v>
      </c>
      <c r="C172" s="8" t="s">
        <v>111</v>
      </c>
      <c r="E172" s="8" t="s">
        <v>86</v>
      </c>
      <c r="F172" s="9">
        <v>200</v>
      </c>
      <c r="G172" s="9"/>
    </row>
    <row r="173" spans="1:7" x14ac:dyDescent="0.25">
      <c r="A173" s="7">
        <v>45725</v>
      </c>
      <c r="B173" s="8" t="s">
        <v>136</v>
      </c>
      <c r="C173" s="8" t="s">
        <v>49</v>
      </c>
      <c r="E173" s="8" t="s">
        <v>167</v>
      </c>
      <c r="F173" s="9">
        <v>12000</v>
      </c>
      <c r="G173" s="9"/>
    </row>
    <row r="174" spans="1:7" x14ac:dyDescent="0.25">
      <c r="A174" s="7">
        <v>45726</v>
      </c>
      <c r="B174" s="8" t="s">
        <v>13</v>
      </c>
      <c r="D174" s="8" t="s">
        <v>68</v>
      </c>
      <c r="E174" s="8" t="s">
        <v>73</v>
      </c>
      <c r="F174" s="9"/>
      <c r="G174" s="9">
        <v>183000</v>
      </c>
    </row>
    <row r="175" spans="1:7" x14ac:dyDescent="0.25">
      <c r="A175" s="7">
        <v>45726</v>
      </c>
      <c r="B175" s="8" t="s">
        <v>13</v>
      </c>
      <c r="C175" s="8" t="s">
        <v>111</v>
      </c>
      <c r="E175" s="8" t="s">
        <v>32</v>
      </c>
      <c r="F175" s="9">
        <v>16211</v>
      </c>
      <c r="G175" s="9"/>
    </row>
    <row r="176" spans="1:7" x14ac:dyDescent="0.25">
      <c r="A176" s="7">
        <v>45726</v>
      </c>
      <c r="B176" s="8" t="s">
        <v>13</v>
      </c>
      <c r="C176" s="8" t="s">
        <v>25</v>
      </c>
      <c r="E176" s="8" t="s">
        <v>143</v>
      </c>
      <c r="F176" s="9">
        <v>2000</v>
      </c>
      <c r="G176" s="9"/>
    </row>
    <row r="177" spans="1:7" x14ac:dyDescent="0.25">
      <c r="A177" s="7">
        <v>45726</v>
      </c>
      <c r="B177" s="8" t="s">
        <v>13</v>
      </c>
      <c r="C177" s="8" t="s">
        <v>113</v>
      </c>
      <c r="E177" s="8" t="s">
        <v>145</v>
      </c>
      <c r="F177" s="9">
        <v>10500</v>
      </c>
      <c r="G177" s="9"/>
    </row>
    <row r="178" spans="1:7" x14ac:dyDescent="0.25">
      <c r="A178" s="7">
        <v>45726</v>
      </c>
      <c r="B178" s="8" t="s">
        <v>13</v>
      </c>
      <c r="C178" s="8" t="s">
        <v>5</v>
      </c>
      <c r="E178" s="8" t="s">
        <v>153</v>
      </c>
      <c r="F178" s="9">
        <v>2685</v>
      </c>
      <c r="G178" s="9"/>
    </row>
    <row r="179" spans="1:7" x14ac:dyDescent="0.25">
      <c r="A179" s="7">
        <v>45726</v>
      </c>
      <c r="B179" s="8" t="s">
        <v>13</v>
      </c>
      <c r="C179" s="8" t="s">
        <v>3</v>
      </c>
      <c r="E179" s="8" t="s">
        <v>87</v>
      </c>
      <c r="F179" s="9">
        <v>3878.48</v>
      </c>
      <c r="G179" s="9"/>
    </row>
    <row r="180" spans="1:7" x14ac:dyDescent="0.25">
      <c r="A180" s="7">
        <v>45726</v>
      </c>
      <c r="B180" s="8" t="s">
        <v>13</v>
      </c>
      <c r="C180" s="8" t="s">
        <v>2</v>
      </c>
      <c r="E180" s="8" t="s">
        <v>154</v>
      </c>
      <c r="F180" s="9">
        <v>4963.34</v>
      </c>
      <c r="G180" s="9"/>
    </row>
    <row r="181" spans="1:7" x14ac:dyDescent="0.25">
      <c r="A181" s="7">
        <v>45726</v>
      </c>
      <c r="B181" s="8" t="s">
        <v>13</v>
      </c>
      <c r="C181" s="8" t="s">
        <v>5</v>
      </c>
      <c r="E181" s="8" t="s">
        <v>155</v>
      </c>
      <c r="F181" s="9">
        <v>850</v>
      </c>
      <c r="G181" s="9"/>
    </row>
    <row r="182" spans="1:7" x14ac:dyDescent="0.25">
      <c r="A182" s="7">
        <v>45726</v>
      </c>
      <c r="B182" s="8" t="s">
        <v>13</v>
      </c>
      <c r="C182" s="8" t="s">
        <v>26</v>
      </c>
      <c r="E182" s="8" t="s">
        <v>141</v>
      </c>
      <c r="F182" s="9">
        <v>2200</v>
      </c>
      <c r="G182" s="9"/>
    </row>
    <row r="183" spans="1:7" x14ac:dyDescent="0.25">
      <c r="A183" s="7">
        <v>45726</v>
      </c>
      <c r="B183" s="8" t="s">
        <v>13</v>
      </c>
      <c r="C183" s="8" t="s">
        <v>25</v>
      </c>
      <c r="E183" s="8" t="s">
        <v>140</v>
      </c>
      <c r="F183" s="9">
        <v>900</v>
      </c>
      <c r="G183" s="9"/>
    </row>
    <row r="184" spans="1:7" x14ac:dyDescent="0.25">
      <c r="A184" s="7">
        <v>45726</v>
      </c>
      <c r="B184" s="8" t="s">
        <v>14</v>
      </c>
      <c r="C184" s="8" t="s">
        <v>25</v>
      </c>
      <c r="E184" s="8" t="s">
        <v>27</v>
      </c>
      <c r="F184" s="9">
        <v>1500</v>
      </c>
      <c r="G184" s="9"/>
    </row>
    <row r="185" spans="1:7" x14ac:dyDescent="0.25">
      <c r="A185" s="7">
        <v>45726</v>
      </c>
      <c r="B185" s="8" t="s">
        <v>13</v>
      </c>
      <c r="C185" s="8" t="s">
        <v>20</v>
      </c>
      <c r="E185" s="8" t="s">
        <v>62</v>
      </c>
      <c r="F185" s="9">
        <v>900</v>
      </c>
      <c r="G185" s="9"/>
    </row>
    <row r="186" spans="1:7" x14ac:dyDescent="0.25">
      <c r="A186" s="7">
        <v>45726</v>
      </c>
      <c r="B186" s="8" t="s">
        <v>13</v>
      </c>
      <c r="C186" s="8" t="s">
        <v>25</v>
      </c>
      <c r="E186" s="8" t="s">
        <v>139</v>
      </c>
      <c r="F186" s="9">
        <f>300+500</f>
        <v>800</v>
      </c>
      <c r="G186" s="9"/>
    </row>
    <row r="187" spans="1:7" x14ac:dyDescent="0.25">
      <c r="A187" s="7">
        <v>45727</v>
      </c>
      <c r="B187" s="8" t="s">
        <v>13</v>
      </c>
      <c r="C187" s="8" t="s">
        <v>24</v>
      </c>
      <c r="F187" s="9">
        <v>25000</v>
      </c>
      <c r="G187" s="9"/>
    </row>
    <row r="188" spans="1:7" x14ac:dyDescent="0.25">
      <c r="A188" s="7">
        <v>45727</v>
      </c>
      <c r="B188" s="8" t="s">
        <v>14</v>
      </c>
      <c r="C188" s="8" t="s">
        <v>5</v>
      </c>
      <c r="E188" s="8" t="s">
        <v>151</v>
      </c>
      <c r="F188" s="9">
        <v>1707</v>
      </c>
      <c r="G188" s="9"/>
    </row>
    <row r="189" spans="1:7" x14ac:dyDescent="0.25">
      <c r="A189" s="7">
        <v>45727</v>
      </c>
      <c r="B189" s="8" t="s">
        <v>13</v>
      </c>
      <c r="C189" s="8" t="s">
        <v>5</v>
      </c>
      <c r="E189" s="8" t="s">
        <v>152</v>
      </c>
      <c r="F189" s="9">
        <v>1398</v>
      </c>
      <c r="G189" s="9"/>
    </row>
    <row r="190" spans="1:7" x14ac:dyDescent="0.25">
      <c r="A190" s="7">
        <v>45728</v>
      </c>
      <c r="B190" s="8" t="s">
        <v>13</v>
      </c>
      <c r="C190" s="8" t="s">
        <v>111</v>
      </c>
      <c r="E190" s="8" t="s">
        <v>146</v>
      </c>
      <c r="F190" s="9">
        <v>2740</v>
      </c>
      <c r="G190" s="9"/>
    </row>
    <row r="191" spans="1:7" x14ac:dyDescent="0.25">
      <c r="A191" s="7">
        <v>45728</v>
      </c>
      <c r="B191" s="8" t="s">
        <v>13</v>
      </c>
      <c r="C191" s="8" t="s">
        <v>25</v>
      </c>
      <c r="E191" s="8" t="s">
        <v>143</v>
      </c>
      <c r="F191" s="9">
        <v>2000</v>
      </c>
      <c r="G191" s="9"/>
    </row>
    <row r="192" spans="1:7" x14ac:dyDescent="0.25">
      <c r="A192" s="7">
        <v>45728</v>
      </c>
      <c r="B192" s="8" t="s">
        <v>13</v>
      </c>
      <c r="C192" s="8" t="s">
        <v>24</v>
      </c>
      <c r="E192" s="8" t="s">
        <v>147</v>
      </c>
      <c r="F192" s="9">
        <v>1000</v>
      </c>
      <c r="G192" s="9"/>
    </row>
    <row r="193" spans="1:7" x14ac:dyDescent="0.25">
      <c r="A193" s="7">
        <v>45730</v>
      </c>
      <c r="B193" s="8" t="s">
        <v>13</v>
      </c>
      <c r="C193" s="8" t="s">
        <v>25</v>
      </c>
      <c r="E193" s="8" t="s">
        <v>47</v>
      </c>
      <c r="F193" s="9">
        <v>1200</v>
      </c>
      <c r="G193" s="9"/>
    </row>
    <row r="194" spans="1:7" x14ac:dyDescent="0.25">
      <c r="A194" s="7">
        <v>45731</v>
      </c>
      <c r="B194" s="8" t="s">
        <v>14</v>
      </c>
      <c r="C194" s="8" t="s">
        <v>24</v>
      </c>
      <c r="E194" s="8" t="s">
        <v>148</v>
      </c>
      <c r="F194" s="9">
        <v>4800</v>
      </c>
      <c r="G194" s="9"/>
    </row>
    <row r="195" spans="1:7" x14ac:dyDescent="0.25">
      <c r="A195" s="7">
        <v>45732</v>
      </c>
      <c r="B195" s="8" t="s">
        <v>13</v>
      </c>
      <c r="C195" s="8" t="s">
        <v>111</v>
      </c>
      <c r="E195" s="8" t="s">
        <v>142</v>
      </c>
      <c r="F195" s="9">
        <v>3474</v>
      </c>
      <c r="G195" s="9"/>
    </row>
    <row r="196" spans="1:7" x14ac:dyDescent="0.25">
      <c r="A196" s="7">
        <v>45732</v>
      </c>
      <c r="B196" s="8" t="s">
        <v>13</v>
      </c>
      <c r="C196" s="8" t="s">
        <v>111</v>
      </c>
      <c r="E196" s="8" t="s">
        <v>32</v>
      </c>
      <c r="F196" s="9">
        <v>2145</v>
      </c>
      <c r="G196" s="9"/>
    </row>
    <row r="197" spans="1:7" x14ac:dyDescent="0.25">
      <c r="A197" s="7">
        <v>45732</v>
      </c>
      <c r="B197" s="8" t="s">
        <v>13</v>
      </c>
      <c r="C197" s="8" t="s">
        <v>23</v>
      </c>
      <c r="E197" s="8" t="s">
        <v>149</v>
      </c>
      <c r="F197" s="9">
        <v>275</v>
      </c>
      <c r="G197" s="9"/>
    </row>
    <row r="198" spans="1:7" x14ac:dyDescent="0.25">
      <c r="A198" s="7">
        <v>45732</v>
      </c>
      <c r="B198" s="8" t="s">
        <v>13</v>
      </c>
      <c r="C198" s="8" t="s">
        <v>111</v>
      </c>
      <c r="E198" s="8" t="s">
        <v>43</v>
      </c>
      <c r="F198" s="9">
        <v>694</v>
      </c>
      <c r="G198" s="9"/>
    </row>
    <row r="199" spans="1:7" x14ac:dyDescent="0.25">
      <c r="A199" s="7">
        <v>45732</v>
      </c>
      <c r="B199" s="8" t="s">
        <v>13</v>
      </c>
      <c r="C199" s="8" t="s">
        <v>20</v>
      </c>
      <c r="E199" s="8" t="s">
        <v>150</v>
      </c>
      <c r="F199" s="9">
        <v>1100</v>
      </c>
      <c r="G199" s="9"/>
    </row>
    <row r="200" spans="1:7" x14ac:dyDescent="0.25">
      <c r="A200" s="7">
        <v>45732</v>
      </c>
      <c r="B200" s="8" t="s">
        <v>13</v>
      </c>
      <c r="C200" s="8" t="s">
        <v>25</v>
      </c>
      <c r="E200" s="8" t="s">
        <v>143</v>
      </c>
      <c r="F200" s="9">
        <v>3000</v>
      </c>
      <c r="G200" s="9"/>
    </row>
    <row r="201" spans="1:7" x14ac:dyDescent="0.25">
      <c r="A201" s="7">
        <v>45733</v>
      </c>
      <c r="B201" s="8" t="s">
        <v>14</v>
      </c>
      <c r="C201" s="8" t="s">
        <v>25</v>
      </c>
      <c r="E201" s="8" t="s">
        <v>27</v>
      </c>
      <c r="F201" s="9">
        <v>900</v>
      </c>
      <c r="G201" s="9"/>
    </row>
    <row r="202" spans="1:7" x14ac:dyDescent="0.25">
      <c r="A202" s="7">
        <v>45733</v>
      </c>
      <c r="B202" s="8" t="s">
        <v>13</v>
      </c>
      <c r="C202" s="8" t="s">
        <v>20</v>
      </c>
      <c r="E202" s="8" t="s">
        <v>62</v>
      </c>
      <c r="F202" s="9">
        <v>540</v>
      </c>
      <c r="G202" s="9"/>
    </row>
    <row r="203" spans="1:7" x14ac:dyDescent="0.25">
      <c r="A203" s="7">
        <v>45733</v>
      </c>
      <c r="B203" s="8" t="s">
        <v>14</v>
      </c>
      <c r="C203" s="8" t="s">
        <v>25</v>
      </c>
      <c r="E203" s="8" t="s">
        <v>139</v>
      </c>
      <c r="F203" s="9">
        <v>670</v>
      </c>
      <c r="G203" s="9"/>
    </row>
    <row r="204" spans="1:7" x14ac:dyDescent="0.25">
      <c r="A204" s="7">
        <v>45734</v>
      </c>
      <c r="B204" s="8" t="s">
        <v>13</v>
      </c>
      <c r="C204" s="8" t="s">
        <v>25</v>
      </c>
      <c r="E204" s="8" t="s">
        <v>156</v>
      </c>
      <c r="F204" s="9">
        <v>900</v>
      </c>
      <c r="G204" s="9"/>
    </row>
    <row r="205" spans="1:7" x14ac:dyDescent="0.25">
      <c r="A205" s="7">
        <v>45734</v>
      </c>
      <c r="B205" s="8" t="s">
        <v>13</v>
      </c>
      <c r="C205" s="8" t="s">
        <v>25</v>
      </c>
      <c r="E205" s="8" t="s">
        <v>47</v>
      </c>
      <c r="F205" s="9">
        <v>600</v>
      </c>
      <c r="G205" s="9"/>
    </row>
    <row r="206" spans="1:7" x14ac:dyDescent="0.25">
      <c r="A206" s="7">
        <v>45735</v>
      </c>
      <c r="B206" s="8" t="s">
        <v>14</v>
      </c>
      <c r="C206" s="8" t="s">
        <v>22</v>
      </c>
      <c r="E206" s="8" t="s">
        <v>157</v>
      </c>
      <c r="F206" s="9">
        <v>10000</v>
      </c>
      <c r="G206" s="9"/>
    </row>
    <row r="207" spans="1:7" x14ac:dyDescent="0.25">
      <c r="A207" s="7">
        <v>45735</v>
      </c>
      <c r="B207" s="8" t="s">
        <v>14</v>
      </c>
      <c r="C207" s="8" t="s">
        <v>1</v>
      </c>
      <c r="E207" s="8" t="s">
        <v>158</v>
      </c>
      <c r="F207" s="9">
        <v>1957.88</v>
      </c>
      <c r="G207" s="9"/>
    </row>
    <row r="208" spans="1:7" x14ac:dyDescent="0.25">
      <c r="A208" s="7">
        <v>45735</v>
      </c>
      <c r="B208" s="8" t="s">
        <v>136</v>
      </c>
      <c r="C208" s="8" t="s">
        <v>114</v>
      </c>
      <c r="E208" s="8" t="s">
        <v>159</v>
      </c>
      <c r="F208" s="9">
        <v>4500</v>
      </c>
      <c r="G208" s="9"/>
    </row>
    <row r="209" spans="1:7" x14ac:dyDescent="0.25">
      <c r="A209" s="7">
        <v>45735</v>
      </c>
      <c r="B209" s="8" t="s">
        <v>13</v>
      </c>
      <c r="C209" s="8" t="s">
        <v>112</v>
      </c>
      <c r="E209" s="8" t="s">
        <v>160</v>
      </c>
      <c r="F209" s="9">
        <v>60000</v>
      </c>
      <c r="G209" s="9"/>
    </row>
    <row r="210" spans="1:7" x14ac:dyDescent="0.25">
      <c r="A210" s="7">
        <v>45735</v>
      </c>
      <c r="B210" s="8" t="s">
        <v>136</v>
      </c>
      <c r="D210" s="8" t="s">
        <v>69</v>
      </c>
      <c r="E210" s="8" t="s">
        <v>176</v>
      </c>
      <c r="F210" s="9"/>
      <c r="G210" s="9">
        <v>50000</v>
      </c>
    </row>
    <row r="211" spans="1:7" x14ac:dyDescent="0.25">
      <c r="A211" s="7">
        <v>45735</v>
      </c>
      <c r="B211" s="8" t="s">
        <v>136</v>
      </c>
      <c r="D211" s="8" t="s">
        <v>69</v>
      </c>
      <c r="E211" s="8" t="s">
        <v>175</v>
      </c>
      <c r="F211" s="9"/>
      <c r="G211" s="9">
        <v>5000</v>
      </c>
    </row>
    <row r="212" spans="1:7" x14ac:dyDescent="0.25">
      <c r="A212" s="7">
        <v>45735</v>
      </c>
      <c r="B212" s="8" t="s">
        <v>136</v>
      </c>
      <c r="C212" s="8" t="s">
        <v>49</v>
      </c>
      <c r="E212" s="8" t="s">
        <v>177</v>
      </c>
      <c r="F212" s="9">
        <v>5000</v>
      </c>
      <c r="G212" s="9"/>
    </row>
    <row r="213" spans="1:7" x14ac:dyDescent="0.25">
      <c r="A213" s="7">
        <v>45737</v>
      </c>
      <c r="B213" s="8" t="s">
        <v>13</v>
      </c>
      <c r="C213" s="8" t="s">
        <v>20</v>
      </c>
      <c r="E213" s="8" t="s">
        <v>60</v>
      </c>
      <c r="F213" s="9">
        <v>370</v>
      </c>
      <c r="G213" s="9"/>
    </row>
    <row r="214" spans="1:7" x14ac:dyDescent="0.25">
      <c r="A214" s="7">
        <v>45737</v>
      </c>
      <c r="B214" s="8" t="s">
        <v>13</v>
      </c>
      <c r="C214" s="8" t="s">
        <v>5</v>
      </c>
      <c r="E214" s="8" t="s">
        <v>165</v>
      </c>
      <c r="F214" s="9">
        <v>733.19</v>
      </c>
      <c r="G214" s="9"/>
    </row>
    <row r="215" spans="1:7" x14ac:dyDescent="0.25">
      <c r="A215" s="7">
        <v>45737</v>
      </c>
      <c r="B215" s="8" t="s">
        <v>13</v>
      </c>
      <c r="C215" s="8" t="s">
        <v>5</v>
      </c>
      <c r="E215" s="8" t="s">
        <v>166</v>
      </c>
      <c r="F215" s="9">
        <v>350</v>
      </c>
      <c r="G215" s="9"/>
    </row>
    <row r="216" spans="1:7" x14ac:dyDescent="0.25">
      <c r="A216" s="7">
        <v>45738</v>
      </c>
      <c r="B216" s="8" t="s">
        <v>9</v>
      </c>
      <c r="C216" s="8" t="s">
        <v>19</v>
      </c>
      <c r="E216" s="8" t="s">
        <v>161</v>
      </c>
      <c r="F216" s="9">
        <v>3318</v>
      </c>
      <c r="G216" s="9"/>
    </row>
    <row r="217" spans="1:7" x14ac:dyDescent="0.25">
      <c r="A217" s="7">
        <v>45738</v>
      </c>
      <c r="B217" s="8" t="s">
        <v>13</v>
      </c>
      <c r="C217" s="8" t="s">
        <v>20</v>
      </c>
      <c r="E217" s="8" t="s">
        <v>162</v>
      </c>
      <c r="F217" s="9">
        <v>1820</v>
      </c>
      <c r="G217" s="9"/>
    </row>
    <row r="218" spans="1:7" x14ac:dyDescent="0.25">
      <c r="A218" s="7">
        <v>45739</v>
      </c>
      <c r="B218" s="8" t="s">
        <v>14</v>
      </c>
      <c r="C218" s="8" t="s">
        <v>24</v>
      </c>
      <c r="E218" s="8" t="s">
        <v>163</v>
      </c>
      <c r="F218" s="9">
        <v>500</v>
      </c>
      <c r="G218" s="9"/>
    </row>
    <row r="219" spans="1:7" x14ac:dyDescent="0.25">
      <c r="A219" s="7">
        <v>45739</v>
      </c>
      <c r="B219" s="8" t="s">
        <v>13</v>
      </c>
      <c r="C219" s="8" t="s">
        <v>111</v>
      </c>
      <c r="E219" s="8" t="s">
        <v>164</v>
      </c>
      <c r="F219" s="9">
        <v>4122.22</v>
      </c>
      <c r="G219" s="9"/>
    </row>
    <row r="220" spans="1:7" x14ac:dyDescent="0.25">
      <c r="A220" s="7">
        <v>45739</v>
      </c>
      <c r="B220" s="8" t="s">
        <v>13</v>
      </c>
      <c r="C220" s="8" t="s">
        <v>25</v>
      </c>
      <c r="E220" s="8" t="s">
        <v>143</v>
      </c>
      <c r="F220" s="9">
        <v>2000</v>
      </c>
      <c r="G220" s="9"/>
    </row>
    <row r="221" spans="1:7" x14ac:dyDescent="0.25">
      <c r="A221" s="7">
        <v>45737</v>
      </c>
      <c r="B221" s="8" t="s">
        <v>13</v>
      </c>
      <c r="C221" s="8" t="s">
        <v>25</v>
      </c>
      <c r="E221" s="8" t="s">
        <v>156</v>
      </c>
      <c r="F221" s="9">
        <v>900</v>
      </c>
      <c r="G221" s="9"/>
    </row>
    <row r="222" spans="1:7" x14ac:dyDescent="0.25">
      <c r="A222" s="7">
        <v>45740</v>
      </c>
      <c r="B222" s="8" t="s">
        <v>14</v>
      </c>
      <c r="C222" s="8" t="s">
        <v>25</v>
      </c>
      <c r="E222" s="8" t="s">
        <v>27</v>
      </c>
      <c r="F222" s="9">
        <v>1500</v>
      </c>
      <c r="G222" s="9"/>
    </row>
    <row r="223" spans="1:7" x14ac:dyDescent="0.25">
      <c r="A223" s="7">
        <v>45740</v>
      </c>
      <c r="B223" s="8" t="s">
        <v>13</v>
      </c>
      <c r="C223" s="8" t="s">
        <v>111</v>
      </c>
      <c r="E223" s="8" t="s">
        <v>62</v>
      </c>
      <c r="F223" s="9">
        <v>900</v>
      </c>
      <c r="G223" s="9"/>
    </row>
    <row r="224" spans="1:7" x14ac:dyDescent="0.25">
      <c r="A224" s="7">
        <v>45740</v>
      </c>
      <c r="B224" s="8" t="s">
        <v>13</v>
      </c>
      <c r="C224" s="8" t="s">
        <v>25</v>
      </c>
      <c r="E224" s="8" t="s">
        <v>139</v>
      </c>
      <c r="F224" s="9">
        <v>300</v>
      </c>
      <c r="G224" s="9"/>
    </row>
    <row r="225" spans="1:7" x14ac:dyDescent="0.25">
      <c r="A225" s="7">
        <v>45741</v>
      </c>
      <c r="B225" s="8" t="s">
        <v>13</v>
      </c>
      <c r="D225" s="8" t="s">
        <v>68</v>
      </c>
      <c r="E225" s="8" t="s">
        <v>121</v>
      </c>
      <c r="F225" s="9"/>
      <c r="G225" s="9">
        <v>35000</v>
      </c>
    </row>
    <row r="226" spans="1:7" x14ac:dyDescent="0.25">
      <c r="A226" s="7">
        <v>45741</v>
      </c>
      <c r="B226" s="8" t="s">
        <v>13</v>
      </c>
      <c r="C226" s="8" t="s">
        <v>26</v>
      </c>
      <c r="E226" s="8" t="s">
        <v>169</v>
      </c>
      <c r="F226" s="9">
        <v>10800</v>
      </c>
      <c r="G226" s="9"/>
    </row>
    <row r="227" spans="1:7" x14ac:dyDescent="0.25">
      <c r="A227" s="7">
        <v>45741</v>
      </c>
      <c r="B227" s="8" t="s">
        <v>13</v>
      </c>
      <c r="C227" s="8" t="s">
        <v>111</v>
      </c>
      <c r="E227" s="8" t="s">
        <v>32</v>
      </c>
      <c r="F227" s="9">
        <v>8991</v>
      </c>
      <c r="G227" s="9"/>
    </row>
    <row r="228" spans="1:7" x14ac:dyDescent="0.25">
      <c r="A228" s="7">
        <v>45742</v>
      </c>
      <c r="B228" s="8" t="s">
        <v>13</v>
      </c>
      <c r="C228" s="8" t="s">
        <v>25</v>
      </c>
      <c r="E228" s="8" t="s">
        <v>156</v>
      </c>
      <c r="F228" s="9">
        <v>1850</v>
      </c>
      <c r="G228" s="9"/>
    </row>
    <row r="229" spans="1:7" x14ac:dyDescent="0.25">
      <c r="A229" s="7">
        <v>45743</v>
      </c>
      <c r="B229" s="8" t="s">
        <v>14</v>
      </c>
      <c r="D229" s="8" t="s">
        <v>68</v>
      </c>
      <c r="E229" s="8" t="s">
        <v>75</v>
      </c>
      <c r="F229" s="9"/>
      <c r="G229" s="9">
        <v>93283</v>
      </c>
    </row>
    <row r="230" spans="1:7" x14ac:dyDescent="0.25">
      <c r="A230" s="7">
        <v>45743</v>
      </c>
      <c r="B230" s="8" t="s">
        <v>14</v>
      </c>
      <c r="C230" s="8" t="s">
        <v>112</v>
      </c>
      <c r="E230" s="8" t="s">
        <v>133</v>
      </c>
      <c r="F230" s="9">
        <v>23270</v>
      </c>
      <c r="G230" s="9"/>
    </row>
    <row r="231" spans="1:7" x14ac:dyDescent="0.25">
      <c r="A231" s="7">
        <v>45743</v>
      </c>
      <c r="B231" s="8" t="s">
        <v>14</v>
      </c>
      <c r="C231" s="8" t="s">
        <v>24</v>
      </c>
      <c r="E231" s="8" t="s">
        <v>131</v>
      </c>
      <c r="F231" s="9">
        <v>613</v>
      </c>
      <c r="G231" s="9"/>
    </row>
    <row r="232" spans="1:7" x14ac:dyDescent="0.25">
      <c r="A232" s="7">
        <v>45743</v>
      </c>
      <c r="B232" s="8" t="s">
        <v>14</v>
      </c>
      <c r="C232" s="8" t="s">
        <v>21</v>
      </c>
      <c r="E232" s="8" t="s">
        <v>132</v>
      </c>
      <c r="F232" s="9">
        <f>5000+10000</f>
        <v>15000</v>
      </c>
      <c r="G232" s="9"/>
    </row>
    <row r="233" spans="1:7" x14ac:dyDescent="0.25">
      <c r="A233" s="7">
        <v>45743</v>
      </c>
      <c r="B233" s="8" t="s">
        <v>14</v>
      </c>
      <c r="C233" s="8" t="s">
        <v>21</v>
      </c>
      <c r="E233" s="8" t="s">
        <v>134</v>
      </c>
      <c r="F233" s="9">
        <v>3000</v>
      </c>
      <c r="G233" s="9"/>
    </row>
    <row r="234" spans="1:7" x14ac:dyDescent="0.25">
      <c r="A234" s="7">
        <v>45743</v>
      </c>
      <c r="B234" s="8" t="s">
        <v>14</v>
      </c>
      <c r="C234" s="8" t="s">
        <v>24</v>
      </c>
      <c r="E234" s="8" t="s">
        <v>178</v>
      </c>
      <c r="F234" s="9">
        <v>1400</v>
      </c>
      <c r="G234" s="9"/>
    </row>
    <row r="235" spans="1:7" x14ac:dyDescent="0.25">
      <c r="A235" s="7">
        <v>45744</v>
      </c>
      <c r="B235" s="8" t="s">
        <v>136</v>
      </c>
      <c r="D235" s="8" t="s">
        <v>69</v>
      </c>
      <c r="E235" s="8" t="s">
        <v>74</v>
      </c>
      <c r="F235" s="9"/>
      <c r="G235" s="9">
        <v>65000</v>
      </c>
    </row>
    <row r="236" spans="1:7" x14ac:dyDescent="0.25">
      <c r="A236" s="7">
        <v>45744</v>
      </c>
      <c r="B236" s="8" t="s">
        <v>136</v>
      </c>
      <c r="C236" s="8" t="s">
        <v>49</v>
      </c>
      <c r="E236" s="8" t="s">
        <v>170</v>
      </c>
      <c r="F236" s="9">
        <v>23300</v>
      </c>
      <c r="G236" s="9"/>
    </row>
    <row r="237" spans="1:7" x14ac:dyDescent="0.25">
      <c r="A237" s="7">
        <v>45744</v>
      </c>
      <c r="B237" s="8" t="s">
        <v>13</v>
      </c>
      <c r="C237" s="8" t="s">
        <v>25</v>
      </c>
      <c r="E237" s="8" t="s">
        <v>156</v>
      </c>
      <c r="F237" s="9">
        <v>2100</v>
      </c>
      <c r="G237" s="9"/>
    </row>
    <row r="238" spans="1:7" x14ac:dyDescent="0.25">
      <c r="A238" s="7">
        <v>45745</v>
      </c>
      <c r="B238" s="8" t="s">
        <v>13</v>
      </c>
      <c r="C238" s="8" t="s">
        <v>111</v>
      </c>
      <c r="E238" s="8" t="s">
        <v>164</v>
      </c>
      <c r="F238" s="9">
        <v>4505</v>
      </c>
      <c r="G238" s="9"/>
    </row>
    <row r="239" spans="1:7" x14ac:dyDescent="0.25">
      <c r="A239" s="7">
        <v>45745</v>
      </c>
      <c r="B239" s="8" t="s">
        <v>13</v>
      </c>
      <c r="C239" s="8" t="s">
        <v>43</v>
      </c>
      <c r="E239" s="8" t="s">
        <v>43</v>
      </c>
      <c r="F239" s="9">
        <v>694</v>
      </c>
      <c r="G239" s="9"/>
    </row>
    <row r="240" spans="1:7" x14ac:dyDescent="0.25">
      <c r="A240" s="7">
        <v>45745</v>
      </c>
      <c r="B240" s="8" t="s">
        <v>13</v>
      </c>
      <c r="C240" s="8" t="s">
        <v>20</v>
      </c>
      <c r="E240" s="8" t="s">
        <v>60</v>
      </c>
      <c r="F240" s="9">
        <v>600</v>
      </c>
      <c r="G240" s="9"/>
    </row>
    <row r="241" spans="1:7" x14ac:dyDescent="0.25">
      <c r="A241" s="7">
        <v>45746</v>
      </c>
      <c r="B241" s="8" t="s">
        <v>13</v>
      </c>
      <c r="C241" s="8" t="s">
        <v>25</v>
      </c>
      <c r="E241" s="8" t="s">
        <v>143</v>
      </c>
      <c r="F241" s="9">
        <v>2000</v>
      </c>
      <c r="G241" s="9"/>
    </row>
    <row r="242" spans="1:7" x14ac:dyDescent="0.25">
      <c r="A242" s="7">
        <v>45746</v>
      </c>
      <c r="B242" s="8" t="s">
        <v>136</v>
      </c>
      <c r="C242" s="8" t="s">
        <v>112</v>
      </c>
      <c r="E242" s="8" t="s">
        <v>56</v>
      </c>
      <c r="F242" s="9">
        <v>44000</v>
      </c>
      <c r="G242" s="9"/>
    </row>
    <row r="243" spans="1:7" x14ac:dyDescent="0.25">
      <c r="A243" s="7">
        <v>45746</v>
      </c>
      <c r="B243" s="8" t="s">
        <v>13</v>
      </c>
      <c r="C243" s="8" t="s">
        <v>111</v>
      </c>
      <c r="E243" s="8" t="s">
        <v>164</v>
      </c>
      <c r="F243" s="9">
        <v>860</v>
      </c>
      <c r="G243" s="9"/>
    </row>
    <row r="244" spans="1:7" x14ac:dyDescent="0.25">
      <c r="A244" s="7">
        <v>45746</v>
      </c>
      <c r="B244" s="8" t="s">
        <v>13</v>
      </c>
      <c r="C244" s="8" t="s">
        <v>111</v>
      </c>
      <c r="E244" s="8" t="s">
        <v>171</v>
      </c>
      <c r="F244" s="9">
        <v>880</v>
      </c>
      <c r="G244" s="9"/>
    </row>
    <row r="245" spans="1:7" x14ac:dyDescent="0.25">
      <c r="A245" s="7">
        <v>45746</v>
      </c>
      <c r="B245" s="8" t="s">
        <v>13</v>
      </c>
      <c r="C245" s="8" t="s">
        <v>4</v>
      </c>
      <c r="E245" s="8" t="s">
        <v>172</v>
      </c>
      <c r="F245" s="9">
        <v>4650</v>
      </c>
      <c r="G245" s="9"/>
    </row>
    <row r="246" spans="1:7" x14ac:dyDescent="0.25">
      <c r="A246" s="7">
        <v>45746</v>
      </c>
      <c r="B246" s="8" t="s">
        <v>14</v>
      </c>
      <c r="C246" s="8" t="s">
        <v>24</v>
      </c>
      <c r="E246" s="8" t="s">
        <v>29</v>
      </c>
      <c r="F246" s="9">
        <v>4000</v>
      </c>
      <c r="G246" s="9"/>
    </row>
    <row r="247" spans="1:7" x14ac:dyDescent="0.25">
      <c r="A247" s="7">
        <v>45747</v>
      </c>
      <c r="B247" s="8" t="s">
        <v>13</v>
      </c>
      <c r="C247" s="8" t="s">
        <v>111</v>
      </c>
      <c r="E247" s="8" t="s">
        <v>164</v>
      </c>
      <c r="F247" s="9">
        <v>1860</v>
      </c>
      <c r="G247" s="9"/>
    </row>
    <row r="248" spans="1:7" x14ac:dyDescent="0.25">
      <c r="A248" s="7">
        <v>45747</v>
      </c>
      <c r="B248" s="8" t="s">
        <v>13</v>
      </c>
      <c r="C248" s="8" t="s">
        <v>112</v>
      </c>
      <c r="E248" s="8" t="s">
        <v>42</v>
      </c>
      <c r="F248" s="9">
        <v>30000</v>
      </c>
      <c r="G248" s="9"/>
    </row>
    <row r="249" spans="1:7" x14ac:dyDescent="0.25">
      <c r="A249" s="7">
        <v>45748</v>
      </c>
      <c r="B249" s="8" t="s">
        <v>136</v>
      </c>
      <c r="D249" s="8" t="s">
        <v>69</v>
      </c>
      <c r="E249" s="8" t="s">
        <v>190</v>
      </c>
      <c r="F249" s="9"/>
      <c r="G249" s="9">
        <v>15000</v>
      </c>
    </row>
    <row r="250" spans="1:7" x14ac:dyDescent="0.25">
      <c r="A250" s="7">
        <v>45748</v>
      </c>
      <c r="B250" s="8" t="s">
        <v>14</v>
      </c>
      <c r="C250" s="8" t="s">
        <v>25</v>
      </c>
      <c r="E250" s="8" t="s">
        <v>27</v>
      </c>
      <c r="F250" s="9">
        <v>750</v>
      </c>
      <c r="G250" s="9"/>
    </row>
    <row r="251" spans="1:7" x14ac:dyDescent="0.25">
      <c r="A251" s="7">
        <v>45748</v>
      </c>
      <c r="B251" s="8" t="s">
        <v>13</v>
      </c>
      <c r="C251" s="8" t="s">
        <v>111</v>
      </c>
      <c r="E251" s="8" t="s">
        <v>62</v>
      </c>
      <c r="F251" s="9">
        <v>900</v>
      </c>
      <c r="G251" s="9"/>
    </row>
    <row r="252" spans="1:7" x14ac:dyDescent="0.25">
      <c r="A252" s="7">
        <v>45748</v>
      </c>
      <c r="B252" s="8" t="s">
        <v>13</v>
      </c>
      <c r="C252" s="8" t="s">
        <v>25</v>
      </c>
      <c r="E252" s="8" t="s">
        <v>139</v>
      </c>
      <c r="F252" s="9">
        <v>300</v>
      </c>
      <c r="G252" s="9"/>
    </row>
    <row r="253" spans="1:7" x14ac:dyDescent="0.25">
      <c r="A253" s="7">
        <v>45748</v>
      </c>
      <c r="B253" s="8" t="s">
        <v>14</v>
      </c>
      <c r="C253" s="8" t="s">
        <v>23</v>
      </c>
      <c r="E253" s="8" t="s">
        <v>57</v>
      </c>
      <c r="F253" s="9">
        <v>150</v>
      </c>
      <c r="G253" s="9"/>
    </row>
    <row r="254" spans="1:7" x14ac:dyDescent="0.25">
      <c r="A254" s="7">
        <v>45748</v>
      </c>
      <c r="B254" s="8" t="s">
        <v>13</v>
      </c>
      <c r="C254" s="8" t="s">
        <v>25</v>
      </c>
      <c r="E254" s="8" t="s">
        <v>140</v>
      </c>
      <c r="F254" s="9">
        <v>2200</v>
      </c>
      <c r="G254" s="9"/>
    </row>
    <row r="255" spans="1:7" x14ac:dyDescent="0.25">
      <c r="A255" s="7">
        <v>45749</v>
      </c>
      <c r="B255" s="8" t="s">
        <v>136</v>
      </c>
      <c r="D255" s="8" t="s">
        <v>69</v>
      </c>
      <c r="E255" s="8" t="s">
        <v>190</v>
      </c>
      <c r="F255" s="9"/>
      <c r="G255" s="9">
        <v>55000</v>
      </c>
    </row>
    <row r="256" spans="1:7" x14ac:dyDescent="0.25">
      <c r="A256" s="7">
        <v>45749</v>
      </c>
      <c r="B256" s="8" t="s">
        <v>136</v>
      </c>
      <c r="D256" s="8" t="s">
        <v>69</v>
      </c>
      <c r="E256" s="8" t="s">
        <v>191</v>
      </c>
      <c r="F256" s="9"/>
      <c r="G256" s="9">
        <v>20000</v>
      </c>
    </row>
    <row r="257" spans="1:7" x14ac:dyDescent="0.25">
      <c r="A257" s="7">
        <v>45749</v>
      </c>
      <c r="B257" s="8" t="s">
        <v>136</v>
      </c>
      <c r="C257" s="8" t="s">
        <v>49</v>
      </c>
      <c r="E257" s="8" t="s">
        <v>185</v>
      </c>
      <c r="F257" s="9">
        <v>44000</v>
      </c>
      <c r="G257" s="9"/>
    </row>
    <row r="258" spans="1:7" x14ac:dyDescent="0.25">
      <c r="A258" s="7">
        <v>45751</v>
      </c>
      <c r="B258" s="8" t="s">
        <v>13</v>
      </c>
      <c r="C258" s="8" t="s">
        <v>26</v>
      </c>
      <c r="E258" s="8" t="s">
        <v>30</v>
      </c>
      <c r="F258" s="9">
        <v>1000</v>
      </c>
      <c r="G258" s="9"/>
    </row>
    <row r="259" spans="1:7" x14ac:dyDescent="0.25">
      <c r="A259" s="7">
        <v>45751</v>
      </c>
      <c r="B259" s="8" t="s">
        <v>136</v>
      </c>
      <c r="C259" s="8" t="s">
        <v>49</v>
      </c>
      <c r="E259" s="8" t="s">
        <v>184</v>
      </c>
      <c r="F259" s="9">
        <v>30000</v>
      </c>
      <c r="G259" s="9"/>
    </row>
    <row r="260" spans="1:7" x14ac:dyDescent="0.25">
      <c r="A260" s="7">
        <v>45752</v>
      </c>
      <c r="B260" s="8" t="s">
        <v>13</v>
      </c>
      <c r="C260" s="8" t="s">
        <v>25</v>
      </c>
      <c r="E260" s="8" t="s">
        <v>143</v>
      </c>
      <c r="F260" s="9">
        <v>2000</v>
      </c>
      <c r="G260" s="9"/>
    </row>
    <row r="261" spans="1:7" x14ac:dyDescent="0.25">
      <c r="A261" s="7">
        <v>45752</v>
      </c>
      <c r="B261" s="8" t="s">
        <v>13</v>
      </c>
      <c r="C261" s="8" t="s">
        <v>111</v>
      </c>
      <c r="E261" s="8" t="s">
        <v>32</v>
      </c>
      <c r="F261" s="9">
        <v>6992</v>
      </c>
      <c r="G261" s="9"/>
    </row>
    <row r="262" spans="1:7" x14ac:dyDescent="0.25">
      <c r="A262" s="7">
        <v>45753</v>
      </c>
      <c r="B262" s="8" t="s">
        <v>136</v>
      </c>
      <c r="D262" s="8" t="s">
        <v>69</v>
      </c>
      <c r="E262" s="8" t="s">
        <v>192</v>
      </c>
      <c r="F262" s="9"/>
      <c r="G262" s="9">
        <v>10000</v>
      </c>
    </row>
    <row r="263" spans="1:7" x14ac:dyDescent="0.25">
      <c r="A263" s="7">
        <v>45753</v>
      </c>
      <c r="B263" s="8" t="s">
        <v>136</v>
      </c>
      <c r="C263" s="8" t="s">
        <v>49</v>
      </c>
      <c r="E263" s="8" t="s">
        <v>183</v>
      </c>
      <c r="F263" s="9">
        <v>22100</v>
      </c>
      <c r="G263" s="9"/>
    </row>
    <row r="264" spans="1:7" x14ac:dyDescent="0.25">
      <c r="A264" s="7">
        <v>45753</v>
      </c>
      <c r="B264" s="8" t="s">
        <v>13</v>
      </c>
      <c r="C264" s="8" t="s">
        <v>111</v>
      </c>
      <c r="E264" s="8" t="s">
        <v>62</v>
      </c>
      <c r="F264" s="9">
        <v>900</v>
      </c>
      <c r="G264" s="9"/>
    </row>
    <row r="265" spans="1:7" x14ac:dyDescent="0.25">
      <c r="A265" s="7">
        <v>45753</v>
      </c>
      <c r="B265" s="8" t="s">
        <v>13</v>
      </c>
      <c r="C265" s="8" t="s">
        <v>25</v>
      </c>
      <c r="E265" s="8" t="s">
        <v>139</v>
      </c>
      <c r="F265" s="9">
        <v>800</v>
      </c>
      <c r="G265" s="9"/>
    </row>
    <row r="266" spans="1:7" x14ac:dyDescent="0.25">
      <c r="A266" s="7">
        <v>45755</v>
      </c>
      <c r="B266" s="8" t="s">
        <v>13</v>
      </c>
      <c r="D266" s="8" t="s">
        <v>68</v>
      </c>
      <c r="E266" s="8" t="s">
        <v>189</v>
      </c>
      <c r="F266" s="9"/>
      <c r="G266" s="9">
        <v>40000</v>
      </c>
    </row>
    <row r="267" spans="1:7" x14ac:dyDescent="0.25">
      <c r="A267" s="7">
        <v>45755</v>
      </c>
      <c r="B267" s="8" t="s">
        <v>15</v>
      </c>
      <c r="C267" s="8" t="s">
        <v>4</v>
      </c>
      <c r="E267" s="8" t="s">
        <v>179</v>
      </c>
      <c r="F267" s="9">
        <v>630</v>
      </c>
      <c r="G267" s="9"/>
    </row>
    <row r="268" spans="1:7" x14ac:dyDescent="0.25">
      <c r="A268" s="7">
        <v>45755</v>
      </c>
      <c r="B268" s="8" t="s">
        <v>15</v>
      </c>
      <c r="C268" s="8" t="s">
        <v>111</v>
      </c>
      <c r="E268" s="8" t="s">
        <v>180</v>
      </c>
      <c r="F268" s="9">
        <v>800</v>
      </c>
      <c r="G268" s="9"/>
    </row>
    <row r="269" spans="1:7" x14ac:dyDescent="0.25">
      <c r="A269" s="7">
        <v>45755</v>
      </c>
      <c r="B269" s="8" t="s">
        <v>16</v>
      </c>
      <c r="C269" s="8" t="s">
        <v>111</v>
      </c>
      <c r="E269" s="8" t="s">
        <v>180</v>
      </c>
      <c r="F269" s="9">
        <f>350+800</f>
        <v>1150</v>
      </c>
      <c r="G269" s="9"/>
    </row>
    <row r="270" spans="1:7" x14ac:dyDescent="0.25">
      <c r="A270" s="7">
        <v>45755</v>
      </c>
      <c r="B270" s="8" t="s">
        <v>14</v>
      </c>
      <c r="C270" s="8" t="s">
        <v>25</v>
      </c>
      <c r="E270" s="8" t="s">
        <v>181</v>
      </c>
      <c r="F270" s="9">
        <v>1395</v>
      </c>
      <c r="G270" s="9"/>
    </row>
    <row r="271" spans="1:7" x14ac:dyDescent="0.25">
      <c r="A271" s="7">
        <v>45755</v>
      </c>
      <c r="B271" s="8" t="s">
        <v>14</v>
      </c>
      <c r="C271" s="8" t="s">
        <v>20</v>
      </c>
      <c r="E271" s="8" t="s">
        <v>182</v>
      </c>
      <c r="F271" s="9">
        <v>760</v>
      </c>
      <c r="G271" s="9"/>
    </row>
    <row r="272" spans="1:7" x14ac:dyDescent="0.25">
      <c r="A272" s="7">
        <v>45755</v>
      </c>
      <c r="B272" s="8" t="s">
        <v>13</v>
      </c>
      <c r="C272" s="8" t="s">
        <v>25</v>
      </c>
      <c r="E272" s="8" t="s">
        <v>47</v>
      </c>
      <c r="F272" s="9">
        <v>750</v>
      </c>
      <c r="G272" s="9"/>
    </row>
    <row r="273" spans="1:7" x14ac:dyDescent="0.25">
      <c r="A273" s="7">
        <v>45755</v>
      </c>
      <c r="B273" s="8" t="s">
        <v>13</v>
      </c>
      <c r="C273" s="8" t="s">
        <v>20</v>
      </c>
      <c r="E273" s="8" t="s">
        <v>60</v>
      </c>
      <c r="F273" s="9">
        <v>1800</v>
      </c>
      <c r="G273" s="9"/>
    </row>
    <row r="274" spans="1:7" x14ac:dyDescent="0.25">
      <c r="A274" s="7">
        <v>45757</v>
      </c>
      <c r="B274" s="8" t="s">
        <v>13</v>
      </c>
      <c r="D274" s="8" t="s">
        <v>68</v>
      </c>
      <c r="E274" s="8" t="s">
        <v>188</v>
      </c>
      <c r="F274" s="9"/>
      <c r="G274" s="9">
        <v>148000</v>
      </c>
    </row>
    <row r="275" spans="1:7" x14ac:dyDescent="0.25">
      <c r="A275" s="7">
        <v>45757</v>
      </c>
      <c r="B275" s="8" t="s">
        <v>13</v>
      </c>
      <c r="C275" s="8" t="s">
        <v>5</v>
      </c>
      <c r="E275" s="8" t="s">
        <v>153</v>
      </c>
      <c r="F275" s="9">
        <v>2685</v>
      </c>
      <c r="G275" s="9"/>
    </row>
    <row r="276" spans="1:7" x14ac:dyDescent="0.25">
      <c r="A276" s="7">
        <v>45757</v>
      </c>
      <c r="B276" s="8" t="s">
        <v>14</v>
      </c>
      <c r="C276" s="8" t="s">
        <v>5</v>
      </c>
      <c r="E276" s="8" t="s">
        <v>186</v>
      </c>
      <c r="F276" s="9">
        <v>1398</v>
      </c>
      <c r="G276" s="9"/>
    </row>
    <row r="277" spans="1:7" x14ac:dyDescent="0.25">
      <c r="A277" s="7">
        <v>45757</v>
      </c>
      <c r="B277" s="8" t="s">
        <v>13</v>
      </c>
      <c r="C277" s="8" t="s">
        <v>5</v>
      </c>
      <c r="E277" s="8" t="s">
        <v>187</v>
      </c>
      <c r="F277" s="9">
        <v>1398</v>
      </c>
      <c r="G277" s="9"/>
    </row>
    <row r="278" spans="1:7" x14ac:dyDescent="0.25">
      <c r="A278" s="7">
        <v>45757</v>
      </c>
      <c r="B278" s="8" t="s">
        <v>13</v>
      </c>
      <c r="C278" s="8" t="s">
        <v>5</v>
      </c>
      <c r="E278" s="8" t="s">
        <v>155</v>
      </c>
      <c r="F278" s="9">
        <v>700</v>
      </c>
      <c r="G278" s="9"/>
    </row>
    <row r="279" spans="1:7" x14ac:dyDescent="0.25">
      <c r="A279" s="7">
        <v>45757</v>
      </c>
      <c r="B279" s="8" t="s">
        <v>13</v>
      </c>
      <c r="C279" s="8" t="s">
        <v>111</v>
      </c>
      <c r="E279" s="8" t="s">
        <v>32</v>
      </c>
      <c r="F279" s="9">
        <v>3978</v>
      </c>
      <c r="G279" s="9"/>
    </row>
    <row r="280" spans="1:7" x14ac:dyDescent="0.25">
      <c r="A280" s="7">
        <v>45757</v>
      </c>
      <c r="B280" s="8" t="s">
        <v>13</v>
      </c>
      <c r="C280" s="8" t="s">
        <v>113</v>
      </c>
      <c r="E280" s="8" t="s">
        <v>145</v>
      </c>
      <c r="F280" s="9">
        <v>10500</v>
      </c>
      <c r="G280" s="9"/>
    </row>
    <row r="281" spans="1:7" x14ac:dyDescent="0.25">
      <c r="A281" s="7">
        <v>45757</v>
      </c>
      <c r="B281" s="8" t="s">
        <v>13</v>
      </c>
      <c r="C281" s="8" t="s">
        <v>5</v>
      </c>
      <c r="E281" s="8" t="s">
        <v>209</v>
      </c>
      <c r="F281" s="9">
        <v>687.23</v>
      </c>
      <c r="G281" s="9"/>
    </row>
    <row r="282" spans="1:7" x14ac:dyDescent="0.25">
      <c r="A282" s="7">
        <v>45758</v>
      </c>
      <c r="B282" s="8" t="s">
        <v>13</v>
      </c>
      <c r="C282" s="8" t="s">
        <v>26</v>
      </c>
      <c r="E282" s="8" t="s">
        <v>30</v>
      </c>
      <c r="F282" s="9">
        <v>8600</v>
      </c>
      <c r="G282" s="9"/>
    </row>
    <row r="283" spans="1:7" x14ac:dyDescent="0.25">
      <c r="A283" s="7">
        <v>45758</v>
      </c>
      <c r="B283" s="8" t="s">
        <v>13</v>
      </c>
      <c r="C283" s="8" t="s">
        <v>25</v>
      </c>
      <c r="E283" s="8" t="s">
        <v>47</v>
      </c>
      <c r="F283" s="9">
        <v>1200</v>
      </c>
      <c r="G283" s="9"/>
    </row>
    <row r="284" spans="1:7" x14ac:dyDescent="0.25">
      <c r="A284" s="7">
        <v>45758</v>
      </c>
      <c r="B284" s="8" t="s">
        <v>13</v>
      </c>
      <c r="C284" s="8" t="s">
        <v>43</v>
      </c>
      <c r="E284" s="8" t="s">
        <v>43</v>
      </c>
      <c r="F284" s="9">
        <v>3890</v>
      </c>
      <c r="G284" s="9"/>
    </row>
    <row r="285" spans="1:7" x14ac:dyDescent="0.25">
      <c r="A285" s="7">
        <v>45758</v>
      </c>
      <c r="B285" s="8" t="s">
        <v>13</v>
      </c>
      <c r="C285" s="8" t="s">
        <v>20</v>
      </c>
      <c r="E285" s="8" t="s">
        <v>60</v>
      </c>
      <c r="F285" s="9">
        <v>860</v>
      </c>
      <c r="G285" s="9"/>
    </row>
    <row r="286" spans="1:7" x14ac:dyDescent="0.25">
      <c r="A286" s="7">
        <v>45758</v>
      </c>
      <c r="B286" s="8" t="s">
        <v>13</v>
      </c>
      <c r="C286" s="8" t="s">
        <v>111</v>
      </c>
      <c r="E286" s="8" t="s">
        <v>32</v>
      </c>
      <c r="F286" s="9">
        <v>1765</v>
      </c>
      <c r="G286" s="9"/>
    </row>
    <row r="287" spans="1:7" x14ac:dyDescent="0.25">
      <c r="A287" s="7">
        <v>45759</v>
      </c>
      <c r="B287" s="8" t="s">
        <v>13</v>
      </c>
      <c r="C287" s="8" t="s">
        <v>24</v>
      </c>
      <c r="E287" s="8" t="s">
        <v>194</v>
      </c>
      <c r="F287" s="9">
        <v>2000</v>
      </c>
      <c r="G287" s="9"/>
    </row>
    <row r="288" spans="1:7" x14ac:dyDescent="0.25">
      <c r="A288" s="7">
        <v>45759</v>
      </c>
      <c r="B288" s="8" t="s">
        <v>13</v>
      </c>
      <c r="C288" s="8" t="s">
        <v>49</v>
      </c>
      <c r="E288" s="8" t="s">
        <v>195</v>
      </c>
      <c r="F288" s="9">
        <v>1150</v>
      </c>
      <c r="G288" s="9"/>
    </row>
    <row r="289" spans="1:7" x14ac:dyDescent="0.25">
      <c r="A289" s="7">
        <v>45759</v>
      </c>
      <c r="B289" s="8" t="s">
        <v>13</v>
      </c>
      <c r="C289" s="8" t="s">
        <v>111</v>
      </c>
      <c r="E289" s="8" t="s">
        <v>32</v>
      </c>
      <c r="F289" s="9">
        <v>14476</v>
      </c>
      <c r="G289" s="9"/>
    </row>
    <row r="290" spans="1:7" x14ac:dyDescent="0.25">
      <c r="A290" s="7">
        <v>45759</v>
      </c>
      <c r="B290" s="8" t="s">
        <v>14</v>
      </c>
      <c r="C290" s="8" t="s">
        <v>48</v>
      </c>
      <c r="E290" s="8" t="s">
        <v>196</v>
      </c>
      <c r="F290" s="9">
        <v>2200</v>
      </c>
      <c r="G290" s="9"/>
    </row>
    <row r="291" spans="1:7" x14ac:dyDescent="0.25">
      <c r="A291" s="7">
        <v>45759</v>
      </c>
      <c r="B291" s="8" t="s">
        <v>14</v>
      </c>
      <c r="C291" s="8" t="s">
        <v>4</v>
      </c>
      <c r="E291" s="8" t="s">
        <v>197</v>
      </c>
      <c r="F291" s="9">
        <v>2460</v>
      </c>
      <c r="G291" s="9"/>
    </row>
    <row r="292" spans="1:7" x14ac:dyDescent="0.25">
      <c r="A292" s="7">
        <v>45759</v>
      </c>
      <c r="B292" s="8" t="s">
        <v>13</v>
      </c>
      <c r="C292" s="8" t="s">
        <v>115</v>
      </c>
      <c r="E292" s="8" t="s">
        <v>198</v>
      </c>
      <c r="F292" s="9">
        <v>15500</v>
      </c>
      <c r="G292" s="9"/>
    </row>
    <row r="293" spans="1:7" x14ac:dyDescent="0.25">
      <c r="A293" s="7">
        <v>45759</v>
      </c>
      <c r="B293" s="8" t="s">
        <v>13</v>
      </c>
      <c r="C293" s="8" t="s">
        <v>115</v>
      </c>
      <c r="E293" s="8" t="s">
        <v>199</v>
      </c>
      <c r="F293" s="9">
        <v>11000</v>
      </c>
      <c r="G293" s="9"/>
    </row>
    <row r="294" spans="1:7" x14ac:dyDescent="0.25">
      <c r="A294" s="7">
        <v>45759</v>
      </c>
      <c r="B294" s="8" t="s">
        <v>13</v>
      </c>
      <c r="C294" s="8" t="s">
        <v>48</v>
      </c>
      <c r="E294" s="8" t="s">
        <v>200</v>
      </c>
      <c r="F294" s="9">
        <v>800</v>
      </c>
      <c r="G294" s="9"/>
    </row>
    <row r="295" spans="1:7" x14ac:dyDescent="0.25">
      <c r="A295" s="7">
        <v>45759</v>
      </c>
      <c r="B295" s="8" t="s">
        <v>13</v>
      </c>
      <c r="C295" s="8" t="s">
        <v>111</v>
      </c>
      <c r="E295" s="8" t="s">
        <v>32</v>
      </c>
      <c r="F295" s="9">
        <v>3637</v>
      </c>
      <c r="G295" s="9"/>
    </row>
    <row r="296" spans="1:7" x14ac:dyDescent="0.25">
      <c r="A296" s="7">
        <v>45760</v>
      </c>
      <c r="B296" s="8" t="s">
        <v>13</v>
      </c>
      <c r="C296" s="8" t="s">
        <v>20</v>
      </c>
      <c r="E296" s="8" t="s">
        <v>162</v>
      </c>
      <c r="F296" s="9">
        <v>1080</v>
      </c>
      <c r="G296" s="9"/>
    </row>
    <row r="297" spans="1:7" x14ac:dyDescent="0.25">
      <c r="A297" s="7">
        <v>45763</v>
      </c>
      <c r="B297" s="8" t="s">
        <v>15</v>
      </c>
      <c r="C297" s="8" t="s">
        <v>17</v>
      </c>
      <c r="E297" s="8" t="s">
        <v>201</v>
      </c>
      <c r="F297" s="9">
        <v>49450</v>
      </c>
      <c r="G297" s="9"/>
    </row>
    <row r="298" spans="1:7" x14ac:dyDescent="0.25">
      <c r="A298" s="7">
        <v>45761</v>
      </c>
      <c r="B298" s="8" t="s">
        <v>13</v>
      </c>
      <c r="C298" s="8" t="s">
        <v>25</v>
      </c>
      <c r="E298" s="8" t="s">
        <v>143</v>
      </c>
      <c r="F298" s="9">
        <v>2000</v>
      </c>
      <c r="G298" s="9"/>
    </row>
    <row r="299" spans="1:7" x14ac:dyDescent="0.25">
      <c r="A299" s="7">
        <v>45765</v>
      </c>
      <c r="B299" s="8" t="s">
        <v>13</v>
      </c>
      <c r="C299" s="8" t="s">
        <v>48</v>
      </c>
      <c r="E299" s="8" t="s">
        <v>202</v>
      </c>
      <c r="F299" s="9">
        <v>900</v>
      </c>
      <c r="G299" s="9"/>
    </row>
    <row r="300" spans="1:7" x14ac:dyDescent="0.25">
      <c r="A300" s="7">
        <v>45765</v>
      </c>
      <c r="B300" s="8" t="s">
        <v>13</v>
      </c>
      <c r="C300" s="8" t="s">
        <v>48</v>
      </c>
      <c r="E300" s="8" t="s">
        <v>203</v>
      </c>
      <c r="F300" s="9">
        <v>2000</v>
      </c>
      <c r="G300" s="9"/>
    </row>
    <row r="301" spans="1:7" x14ac:dyDescent="0.25">
      <c r="A301" s="7">
        <v>45765</v>
      </c>
      <c r="B301" s="8" t="s">
        <v>13</v>
      </c>
      <c r="C301" s="8" t="s">
        <v>48</v>
      </c>
      <c r="E301" s="8" t="s">
        <v>204</v>
      </c>
      <c r="F301" s="9">
        <v>745</v>
      </c>
      <c r="G301" s="9"/>
    </row>
    <row r="302" spans="1:7" x14ac:dyDescent="0.25">
      <c r="A302" s="7">
        <v>45765</v>
      </c>
      <c r="B302" s="8" t="s">
        <v>13</v>
      </c>
      <c r="C302" s="8" t="s">
        <v>48</v>
      </c>
      <c r="E302" s="8" t="s">
        <v>205</v>
      </c>
      <c r="F302" s="9">
        <v>3080</v>
      </c>
      <c r="G302" s="9"/>
    </row>
    <row r="303" spans="1:7" x14ac:dyDescent="0.25">
      <c r="A303" s="7">
        <v>45766</v>
      </c>
      <c r="B303" s="8" t="s">
        <v>13</v>
      </c>
      <c r="C303" s="8" t="s">
        <v>48</v>
      </c>
      <c r="E303" s="8" t="s">
        <v>203</v>
      </c>
      <c r="F303" s="9">
        <v>2000</v>
      </c>
      <c r="G303" s="9"/>
    </row>
    <row r="304" spans="1:7" x14ac:dyDescent="0.25">
      <c r="A304" s="7">
        <v>45766</v>
      </c>
      <c r="B304" s="8" t="s">
        <v>13</v>
      </c>
      <c r="C304" s="8" t="s">
        <v>111</v>
      </c>
      <c r="E304" s="8" t="s">
        <v>206</v>
      </c>
      <c r="F304" s="9">
        <v>1650</v>
      </c>
      <c r="G304" s="9"/>
    </row>
    <row r="305" spans="1:7" x14ac:dyDescent="0.25">
      <c r="A305" s="7">
        <v>45766</v>
      </c>
      <c r="B305" s="8" t="s">
        <v>13</v>
      </c>
      <c r="C305" s="8" t="s">
        <v>24</v>
      </c>
      <c r="E305" s="8" t="s">
        <v>207</v>
      </c>
      <c r="F305" s="9">
        <v>450</v>
      </c>
      <c r="G305" s="9"/>
    </row>
    <row r="306" spans="1:7" x14ac:dyDescent="0.25">
      <c r="A306" s="7">
        <v>45766</v>
      </c>
      <c r="B306" s="8" t="s">
        <v>13</v>
      </c>
      <c r="C306" s="8" t="s">
        <v>111</v>
      </c>
      <c r="E306" s="8" t="s">
        <v>208</v>
      </c>
      <c r="F306" s="9">
        <v>4742</v>
      </c>
      <c r="G306" s="9"/>
    </row>
    <row r="307" spans="1:7" x14ac:dyDescent="0.25">
      <c r="A307" s="7">
        <v>45765</v>
      </c>
      <c r="B307" s="8" t="s">
        <v>13</v>
      </c>
      <c r="C307" s="8" t="s">
        <v>26</v>
      </c>
      <c r="E307" s="8" t="s">
        <v>30</v>
      </c>
      <c r="F307" s="9">
        <v>1000</v>
      </c>
      <c r="G307" s="9"/>
    </row>
    <row r="308" spans="1:7" x14ac:dyDescent="0.25">
      <c r="A308" s="7">
        <v>45767</v>
      </c>
      <c r="B308" s="8" t="s">
        <v>13</v>
      </c>
      <c r="C308" s="8" t="s">
        <v>3</v>
      </c>
      <c r="E308" s="8" t="s">
        <v>87</v>
      </c>
      <c r="F308" s="9">
        <v>2792.17</v>
      </c>
      <c r="G308" s="9"/>
    </row>
    <row r="309" spans="1:7" x14ac:dyDescent="0.25">
      <c r="A309" s="7">
        <v>45767</v>
      </c>
      <c r="B309" s="8" t="s">
        <v>13</v>
      </c>
      <c r="C309" s="8" t="s">
        <v>2</v>
      </c>
      <c r="E309" s="8" t="s">
        <v>154</v>
      </c>
      <c r="F309" s="9">
        <v>4307.38</v>
      </c>
      <c r="G309" s="9"/>
    </row>
    <row r="310" spans="1:7" x14ac:dyDescent="0.25">
      <c r="A310" s="7">
        <v>45767</v>
      </c>
      <c r="B310" s="8" t="s">
        <v>13</v>
      </c>
      <c r="C310" s="8" t="s">
        <v>111</v>
      </c>
      <c r="E310" s="8" t="s">
        <v>32</v>
      </c>
      <c r="F310" s="9">
        <v>8647</v>
      </c>
      <c r="G310" s="9"/>
    </row>
    <row r="311" spans="1:7" x14ac:dyDescent="0.25">
      <c r="A311" s="7">
        <v>45768</v>
      </c>
      <c r="B311" s="8" t="s">
        <v>14</v>
      </c>
      <c r="C311" s="8" t="s">
        <v>25</v>
      </c>
      <c r="E311" s="8" t="s">
        <v>27</v>
      </c>
      <c r="F311" s="9">
        <v>550</v>
      </c>
      <c r="G311" s="9"/>
    </row>
    <row r="312" spans="1:7" x14ac:dyDescent="0.25">
      <c r="A312" s="7">
        <v>45768</v>
      </c>
      <c r="B312" s="8" t="s">
        <v>15</v>
      </c>
      <c r="C312" s="8" t="s">
        <v>23</v>
      </c>
      <c r="E312" s="8" t="s">
        <v>210</v>
      </c>
      <c r="F312" s="9">
        <v>200</v>
      </c>
      <c r="G312" s="9"/>
    </row>
    <row r="313" spans="1:7" x14ac:dyDescent="0.25">
      <c r="A313" s="7">
        <v>45768</v>
      </c>
      <c r="B313" s="8" t="s">
        <v>14</v>
      </c>
      <c r="C313" s="8" t="s">
        <v>20</v>
      </c>
      <c r="E313" s="8" t="s">
        <v>211</v>
      </c>
      <c r="F313" s="9">
        <v>200</v>
      </c>
      <c r="G313" s="9"/>
    </row>
    <row r="314" spans="1:7" x14ac:dyDescent="0.25">
      <c r="A314" s="7">
        <v>45768</v>
      </c>
      <c r="B314" s="8" t="s">
        <v>13</v>
      </c>
      <c r="C314" s="8" t="s">
        <v>20</v>
      </c>
      <c r="E314" s="8" t="s">
        <v>62</v>
      </c>
      <c r="F314" s="9">
        <v>900</v>
      </c>
      <c r="G314" s="9"/>
    </row>
    <row r="315" spans="1:7" x14ac:dyDescent="0.25">
      <c r="A315" s="7">
        <v>45768</v>
      </c>
      <c r="B315" s="8" t="s">
        <v>13</v>
      </c>
      <c r="C315" s="8" t="s">
        <v>25</v>
      </c>
      <c r="E315" s="8" t="s">
        <v>139</v>
      </c>
      <c r="F315" s="9">
        <v>820</v>
      </c>
      <c r="G315" s="9"/>
    </row>
    <row r="316" spans="1:7" x14ac:dyDescent="0.25">
      <c r="A316" s="7">
        <v>45772</v>
      </c>
      <c r="B316" s="8" t="s">
        <v>14</v>
      </c>
      <c r="D316" s="8" t="s">
        <v>68</v>
      </c>
      <c r="E316" s="8" t="s">
        <v>219</v>
      </c>
      <c r="F316" s="9"/>
      <c r="G316" s="9">
        <v>50000</v>
      </c>
    </row>
    <row r="317" spans="1:7" x14ac:dyDescent="0.25">
      <c r="A317" s="7">
        <v>45772</v>
      </c>
      <c r="B317" s="8" t="s">
        <v>14</v>
      </c>
      <c r="D317" s="8" t="s">
        <v>68</v>
      </c>
      <c r="E317" s="8" t="s">
        <v>75</v>
      </c>
      <c r="F317" s="9"/>
      <c r="G317" s="9">
        <v>50000</v>
      </c>
    </row>
    <row r="318" spans="1:7" x14ac:dyDescent="0.25">
      <c r="A318" s="7">
        <v>45772</v>
      </c>
      <c r="B318" s="8" t="s">
        <v>13</v>
      </c>
      <c r="D318" s="8" t="s">
        <v>68</v>
      </c>
      <c r="E318" s="8" t="s">
        <v>121</v>
      </c>
      <c r="F318" s="9"/>
      <c r="G318" s="9">
        <v>35000</v>
      </c>
    </row>
    <row r="319" spans="1:7" x14ac:dyDescent="0.25">
      <c r="A319" s="7">
        <v>45772</v>
      </c>
      <c r="B319" s="8" t="s">
        <v>13</v>
      </c>
      <c r="C319" s="8" t="s">
        <v>20</v>
      </c>
      <c r="E319" s="8" t="s">
        <v>60</v>
      </c>
      <c r="F319" s="9">
        <v>1340</v>
      </c>
      <c r="G319" s="9"/>
    </row>
    <row r="320" spans="1:7" x14ac:dyDescent="0.25">
      <c r="A320" s="7">
        <v>45772</v>
      </c>
      <c r="B320" s="8" t="s">
        <v>16</v>
      </c>
      <c r="C320" s="8" t="s">
        <v>48</v>
      </c>
      <c r="E320" s="8" t="s">
        <v>212</v>
      </c>
      <c r="F320" s="9">
        <v>3324</v>
      </c>
      <c r="G320" s="9"/>
    </row>
    <row r="321" spans="1:7" x14ac:dyDescent="0.25">
      <c r="A321" s="7">
        <v>45772</v>
      </c>
      <c r="B321" s="8" t="s">
        <v>16</v>
      </c>
      <c r="C321" s="8" t="s">
        <v>17</v>
      </c>
      <c r="E321" s="8" t="s">
        <v>213</v>
      </c>
      <c r="F321" s="9">
        <v>42435</v>
      </c>
      <c r="G321" s="9"/>
    </row>
    <row r="322" spans="1:7" x14ac:dyDescent="0.25">
      <c r="A322" s="7">
        <v>45772</v>
      </c>
      <c r="B322" s="8" t="s">
        <v>136</v>
      </c>
      <c r="C322" s="8" t="s">
        <v>114</v>
      </c>
      <c r="E322" s="8" t="s">
        <v>214</v>
      </c>
      <c r="F322" s="9">
        <v>8700</v>
      </c>
      <c r="G322" s="9"/>
    </row>
    <row r="323" spans="1:7" x14ac:dyDescent="0.25">
      <c r="A323" s="7">
        <v>45772</v>
      </c>
      <c r="B323" s="8" t="s">
        <v>14</v>
      </c>
      <c r="C323" s="8" t="s">
        <v>21</v>
      </c>
      <c r="E323" s="8" t="s">
        <v>215</v>
      </c>
      <c r="F323" s="9">
        <v>50000</v>
      </c>
      <c r="G323" s="9"/>
    </row>
    <row r="324" spans="1:7" x14ac:dyDescent="0.25">
      <c r="A324" s="7">
        <v>45773</v>
      </c>
      <c r="B324" s="8" t="s">
        <v>13</v>
      </c>
      <c r="C324" s="8" t="s">
        <v>20</v>
      </c>
      <c r="E324" s="8" t="s">
        <v>216</v>
      </c>
      <c r="F324" s="9">
        <v>850</v>
      </c>
      <c r="G324" s="9"/>
    </row>
    <row r="325" spans="1:7" x14ac:dyDescent="0.25">
      <c r="A325" s="7">
        <v>45773</v>
      </c>
      <c r="B325" s="8" t="s">
        <v>13</v>
      </c>
      <c r="C325" s="8" t="s">
        <v>112</v>
      </c>
      <c r="E325" s="8" t="s">
        <v>217</v>
      </c>
      <c r="F325" s="9">
        <v>30000</v>
      </c>
      <c r="G325" s="9"/>
    </row>
    <row r="326" spans="1:7" x14ac:dyDescent="0.25">
      <c r="A326" s="7">
        <v>45773</v>
      </c>
      <c r="B326" s="8" t="s">
        <v>16</v>
      </c>
      <c r="C326" s="8" t="s">
        <v>48</v>
      </c>
      <c r="E326" s="8" t="s">
        <v>218</v>
      </c>
      <c r="F326" s="9">
        <v>3130</v>
      </c>
      <c r="G326" s="9"/>
    </row>
    <row r="327" spans="1:7" x14ac:dyDescent="0.25">
      <c r="A327" s="7">
        <v>45773</v>
      </c>
      <c r="B327" s="8" t="s">
        <v>13</v>
      </c>
      <c r="C327" s="8" t="s">
        <v>111</v>
      </c>
      <c r="E327" s="8" t="s">
        <v>32</v>
      </c>
      <c r="F327" s="9">
        <v>4654</v>
      </c>
      <c r="G327" s="9"/>
    </row>
    <row r="328" spans="1:7" x14ac:dyDescent="0.25">
      <c r="A328" s="7">
        <v>45774</v>
      </c>
      <c r="B328" s="8" t="s">
        <v>14</v>
      </c>
      <c r="C328" s="8" t="s">
        <v>25</v>
      </c>
      <c r="E328" s="8" t="s">
        <v>27</v>
      </c>
      <c r="F328" s="9">
        <v>200</v>
      </c>
      <c r="G328" s="9"/>
    </row>
    <row r="329" spans="1:7" x14ac:dyDescent="0.25">
      <c r="A329" s="7">
        <v>45774</v>
      </c>
      <c r="B329" s="8" t="s">
        <v>13</v>
      </c>
      <c r="C329" s="8" t="s">
        <v>20</v>
      </c>
      <c r="E329" s="8" t="s">
        <v>62</v>
      </c>
      <c r="F329" s="9">
        <v>720</v>
      </c>
      <c r="G329" s="9"/>
    </row>
    <row r="330" spans="1:7" x14ac:dyDescent="0.25">
      <c r="A330" s="7">
        <v>45774</v>
      </c>
      <c r="B330" s="8" t="s">
        <v>13</v>
      </c>
      <c r="C330" s="8" t="s">
        <v>25</v>
      </c>
      <c r="E330" s="8" t="s">
        <v>139</v>
      </c>
      <c r="F330" s="9">
        <v>560</v>
      </c>
      <c r="G330" s="9"/>
    </row>
    <row r="331" spans="1:7" x14ac:dyDescent="0.25">
      <c r="A331" s="7">
        <v>45775</v>
      </c>
      <c r="B331" s="8" t="s">
        <v>136</v>
      </c>
      <c r="D331" s="8" t="s">
        <v>69</v>
      </c>
      <c r="E331" s="8" t="s">
        <v>191</v>
      </c>
      <c r="F331" s="9"/>
      <c r="G331" s="9">
        <v>27800</v>
      </c>
    </row>
    <row r="332" spans="1:7" x14ac:dyDescent="0.25">
      <c r="A332" s="7">
        <v>45777</v>
      </c>
      <c r="B332" s="8" t="s">
        <v>13</v>
      </c>
      <c r="C332" s="8" t="s">
        <v>26</v>
      </c>
      <c r="E332" s="8" t="s">
        <v>30</v>
      </c>
      <c r="F332" s="9">
        <v>8000</v>
      </c>
      <c r="G332" s="9"/>
    </row>
    <row r="333" spans="1:7" x14ac:dyDescent="0.25">
      <c r="A333" s="7">
        <v>45777</v>
      </c>
      <c r="B333" s="8" t="s">
        <v>13</v>
      </c>
      <c r="C333" s="8" t="s">
        <v>20</v>
      </c>
      <c r="E333" s="8" t="s">
        <v>60</v>
      </c>
      <c r="F333" s="9">
        <v>700</v>
      </c>
      <c r="G333" s="9"/>
    </row>
    <row r="334" spans="1:7" x14ac:dyDescent="0.25">
      <c r="A334" s="7">
        <v>45778</v>
      </c>
      <c r="B334" s="8" t="s">
        <v>13</v>
      </c>
      <c r="C334" s="8" t="s">
        <v>111</v>
      </c>
      <c r="E334" s="8" t="s">
        <v>32</v>
      </c>
      <c r="F334" s="9">
        <f>7748+980</f>
        <v>8728</v>
      </c>
      <c r="G334" s="9"/>
    </row>
    <row r="335" spans="1:7" x14ac:dyDescent="0.25">
      <c r="A335" s="7">
        <v>45778</v>
      </c>
      <c r="B335" s="8" t="s">
        <v>13</v>
      </c>
      <c r="C335" s="8" t="s">
        <v>25</v>
      </c>
      <c r="E335" s="8" t="s">
        <v>143</v>
      </c>
      <c r="F335" s="9">
        <v>2000</v>
      </c>
      <c r="G335" s="9"/>
    </row>
    <row r="336" spans="1:7" x14ac:dyDescent="0.25">
      <c r="A336" s="7">
        <v>45778</v>
      </c>
      <c r="B336" s="8" t="s">
        <v>16</v>
      </c>
      <c r="C336" s="8" t="s">
        <v>48</v>
      </c>
      <c r="E336" s="8" t="s">
        <v>220</v>
      </c>
      <c r="F336" s="9">
        <v>3590</v>
      </c>
      <c r="G336" s="9"/>
    </row>
    <row r="337" spans="1:7" x14ac:dyDescent="0.25">
      <c r="A337" s="7">
        <v>45779</v>
      </c>
      <c r="B337" s="8" t="s">
        <v>13</v>
      </c>
      <c r="C337" s="8" t="s">
        <v>25</v>
      </c>
      <c r="E337" s="8" t="s">
        <v>31</v>
      </c>
      <c r="F337" s="9">
        <v>1000</v>
      </c>
      <c r="G337" s="9"/>
    </row>
    <row r="338" spans="1:7" x14ac:dyDescent="0.25">
      <c r="A338" s="7">
        <v>45779</v>
      </c>
      <c r="B338" s="8" t="s">
        <v>13</v>
      </c>
      <c r="C338" s="8" t="s">
        <v>20</v>
      </c>
      <c r="E338" s="8" t="s">
        <v>60</v>
      </c>
      <c r="F338" s="9">
        <f>450+200+100</f>
        <v>750</v>
      </c>
      <c r="G338" s="9"/>
    </row>
    <row r="339" spans="1:7" x14ac:dyDescent="0.25">
      <c r="A339" s="7">
        <v>45780</v>
      </c>
      <c r="B339" s="8" t="s">
        <v>13</v>
      </c>
      <c r="C339" s="8" t="s">
        <v>20</v>
      </c>
      <c r="E339" s="8" t="s">
        <v>221</v>
      </c>
      <c r="F339" s="9">
        <v>790</v>
      </c>
      <c r="G339" s="9"/>
    </row>
    <row r="340" spans="1:7" x14ac:dyDescent="0.25">
      <c r="A340" s="7">
        <v>45780</v>
      </c>
      <c r="B340" s="8" t="s">
        <v>13</v>
      </c>
      <c r="C340" s="8" t="s">
        <v>111</v>
      </c>
      <c r="E340" s="8" t="s">
        <v>86</v>
      </c>
      <c r="F340" s="9">
        <f>200+80+110</f>
        <v>390</v>
      </c>
      <c r="G340" s="9"/>
    </row>
    <row r="341" spans="1:7" x14ac:dyDescent="0.25">
      <c r="A341" s="7">
        <v>45780</v>
      </c>
      <c r="B341" s="8" t="s">
        <v>13</v>
      </c>
      <c r="C341" s="8" t="s">
        <v>111</v>
      </c>
      <c r="E341" s="8" t="s">
        <v>222</v>
      </c>
      <c r="F341" s="9">
        <v>1265</v>
      </c>
      <c r="G341" s="9"/>
    </row>
    <row r="342" spans="1:7" x14ac:dyDescent="0.25">
      <c r="A342" s="7">
        <v>45782</v>
      </c>
      <c r="B342" s="8" t="s">
        <v>14</v>
      </c>
      <c r="C342" s="8" t="s">
        <v>25</v>
      </c>
      <c r="E342" s="8" t="s">
        <v>27</v>
      </c>
      <c r="F342" s="9">
        <v>350</v>
      </c>
      <c r="G342" s="9"/>
    </row>
    <row r="343" spans="1:7" x14ac:dyDescent="0.25">
      <c r="A343" s="7">
        <v>45782</v>
      </c>
      <c r="B343" s="8" t="s">
        <v>13</v>
      </c>
      <c r="C343" s="8" t="s">
        <v>20</v>
      </c>
      <c r="E343" s="8" t="s">
        <v>62</v>
      </c>
      <c r="F343" s="9">
        <v>900</v>
      </c>
      <c r="G343" s="9"/>
    </row>
    <row r="344" spans="1:7" x14ac:dyDescent="0.25">
      <c r="A344" s="7">
        <v>45782</v>
      </c>
      <c r="B344" s="8" t="s">
        <v>13</v>
      </c>
      <c r="C344" s="8" t="s">
        <v>25</v>
      </c>
      <c r="E344" s="8" t="s">
        <v>139</v>
      </c>
      <c r="F344" s="9">
        <v>300</v>
      </c>
      <c r="G344" s="9"/>
    </row>
    <row r="345" spans="1:7" x14ac:dyDescent="0.25">
      <c r="A345" s="7">
        <v>45782</v>
      </c>
      <c r="B345" s="8" t="s">
        <v>13</v>
      </c>
      <c r="C345" s="8" t="s">
        <v>25</v>
      </c>
      <c r="E345" s="8" t="s">
        <v>47</v>
      </c>
      <c r="F345" s="9">
        <v>1650</v>
      </c>
      <c r="G345" s="9"/>
    </row>
    <row r="346" spans="1:7" x14ac:dyDescent="0.25">
      <c r="A346" s="7">
        <v>45783</v>
      </c>
      <c r="B346" s="8" t="s">
        <v>15</v>
      </c>
      <c r="C346" s="8" t="s">
        <v>21</v>
      </c>
      <c r="E346" s="8" t="s">
        <v>224</v>
      </c>
      <c r="F346" s="9">
        <v>1500</v>
      </c>
      <c r="G346" s="9"/>
    </row>
    <row r="347" spans="1:7" x14ac:dyDescent="0.25">
      <c r="A347" s="7">
        <v>45783</v>
      </c>
      <c r="B347" s="8" t="s">
        <v>16</v>
      </c>
      <c r="C347" s="8" t="s">
        <v>21</v>
      </c>
      <c r="E347" s="8" t="s">
        <v>224</v>
      </c>
      <c r="F347" s="9">
        <v>1500</v>
      </c>
      <c r="G347" s="9"/>
    </row>
    <row r="348" spans="1:7" x14ac:dyDescent="0.25">
      <c r="A348" s="7">
        <v>45785</v>
      </c>
      <c r="B348" s="8" t="s">
        <v>136</v>
      </c>
      <c r="D348" s="8" t="s">
        <v>69</v>
      </c>
      <c r="F348" s="9"/>
      <c r="G348" s="9">
        <v>60000</v>
      </c>
    </row>
    <row r="349" spans="1:7" x14ac:dyDescent="0.25">
      <c r="A349" s="7">
        <v>45785</v>
      </c>
      <c r="B349" s="8" t="s">
        <v>15</v>
      </c>
      <c r="C349" s="8" t="s">
        <v>23</v>
      </c>
      <c r="E349" s="8" t="s">
        <v>225</v>
      </c>
      <c r="F349" s="9">
        <v>680</v>
      </c>
      <c r="G349" s="9"/>
    </row>
    <row r="350" spans="1:7" x14ac:dyDescent="0.25">
      <c r="A350" s="7">
        <v>45785</v>
      </c>
      <c r="B350" s="8" t="s">
        <v>16</v>
      </c>
      <c r="C350" s="8" t="s">
        <v>23</v>
      </c>
      <c r="E350" s="8" t="s">
        <v>225</v>
      </c>
      <c r="F350" s="9">
        <v>680</v>
      </c>
      <c r="G350" s="9"/>
    </row>
    <row r="351" spans="1:7" x14ac:dyDescent="0.25">
      <c r="A351" s="7">
        <v>45786</v>
      </c>
      <c r="B351" s="8" t="s">
        <v>13</v>
      </c>
      <c r="D351" s="8" t="s">
        <v>68</v>
      </c>
      <c r="E351" s="8" t="s">
        <v>73</v>
      </c>
      <c r="F351" s="9"/>
      <c r="G351" s="9">
        <f>83500+64500</f>
        <v>148000</v>
      </c>
    </row>
    <row r="352" spans="1:7" x14ac:dyDescent="0.25">
      <c r="A352" s="7">
        <v>45786</v>
      </c>
      <c r="B352" s="8" t="s">
        <v>13</v>
      </c>
      <c r="C352" s="8" t="s">
        <v>111</v>
      </c>
      <c r="E352" s="8" t="s">
        <v>32</v>
      </c>
      <c r="F352" s="9">
        <v>14152</v>
      </c>
      <c r="G352" s="9"/>
    </row>
    <row r="353" spans="1:7" x14ac:dyDescent="0.25">
      <c r="A353" s="7">
        <v>45786</v>
      </c>
      <c r="B353" s="8" t="s">
        <v>13</v>
      </c>
      <c r="C353" s="8" t="s">
        <v>20</v>
      </c>
      <c r="E353" s="8" t="s">
        <v>60</v>
      </c>
      <c r="F353" s="9">
        <v>650</v>
      </c>
      <c r="G353" s="9"/>
    </row>
    <row r="354" spans="1:7" x14ac:dyDescent="0.25">
      <c r="A354" s="7">
        <v>45787</v>
      </c>
      <c r="B354" s="8" t="s">
        <v>15</v>
      </c>
      <c r="C354" s="8" t="s">
        <v>23</v>
      </c>
      <c r="E354" s="8" t="s">
        <v>57</v>
      </c>
      <c r="F354" s="9">
        <v>415</v>
      </c>
      <c r="G354" s="9"/>
    </row>
    <row r="355" spans="1:7" x14ac:dyDescent="0.25">
      <c r="A355" s="7">
        <v>45787</v>
      </c>
      <c r="B355" s="8" t="s">
        <v>136</v>
      </c>
      <c r="C355" s="8" t="s">
        <v>49</v>
      </c>
      <c r="E355" s="8" t="s">
        <v>237</v>
      </c>
      <c r="F355" s="9">
        <v>21900</v>
      </c>
      <c r="G355" s="9"/>
    </row>
    <row r="356" spans="1:7" x14ac:dyDescent="0.25">
      <c r="A356" s="7">
        <v>45787</v>
      </c>
      <c r="B356" s="8" t="s">
        <v>136</v>
      </c>
      <c r="C356" s="8" t="s">
        <v>49</v>
      </c>
      <c r="E356" s="8" t="s">
        <v>238</v>
      </c>
      <c r="F356" s="9">
        <v>200</v>
      </c>
      <c r="G356" s="9"/>
    </row>
    <row r="357" spans="1:7" x14ac:dyDescent="0.25">
      <c r="A357" s="7">
        <v>45787</v>
      </c>
      <c r="B357" s="8" t="s">
        <v>136</v>
      </c>
      <c r="C357" s="8" t="s">
        <v>49</v>
      </c>
      <c r="E357" s="8" t="s">
        <v>239</v>
      </c>
      <c r="F357" s="9">
        <v>3100</v>
      </c>
      <c r="G357" s="9"/>
    </row>
    <row r="358" spans="1:7" x14ac:dyDescent="0.25">
      <c r="A358" s="7">
        <v>45787</v>
      </c>
      <c r="B358" s="8" t="s">
        <v>136</v>
      </c>
      <c r="C358" s="8" t="s">
        <v>49</v>
      </c>
      <c r="E358" s="8" t="s">
        <v>240</v>
      </c>
      <c r="F358" s="9">
        <v>400</v>
      </c>
      <c r="G358" s="9"/>
    </row>
    <row r="359" spans="1:7" x14ac:dyDescent="0.25">
      <c r="A359" s="7">
        <v>45787</v>
      </c>
      <c r="B359" s="8" t="s">
        <v>136</v>
      </c>
      <c r="C359" s="8" t="s">
        <v>49</v>
      </c>
      <c r="E359" s="8" t="s">
        <v>241</v>
      </c>
      <c r="F359" s="9">
        <v>8200</v>
      </c>
      <c r="G359" s="9"/>
    </row>
    <row r="360" spans="1:7" x14ac:dyDescent="0.25">
      <c r="A360" s="7">
        <v>45787</v>
      </c>
      <c r="B360" s="8" t="s">
        <v>136</v>
      </c>
      <c r="C360" s="8" t="s">
        <v>49</v>
      </c>
      <c r="E360" s="8" t="s">
        <v>241</v>
      </c>
      <c r="F360" s="9">
        <v>8000</v>
      </c>
      <c r="G360" s="9"/>
    </row>
    <row r="361" spans="1:7" x14ac:dyDescent="0.25">
      <c r="A361" s="7">
        <v>45789</v>
      </c>
      <c r="B361" s="8" t="s">
        <v>13</v>
      </c>
      <c r="C361" s="8" t="s">
        <v>5</v>
      </c>
      <c r="E361" s="8" t="s">
        <v>153</v>
      </c>
      <c r="F361" s="9">
        <v>2685</v>
      </c>
      <c r="G361" s="9"/>
    </row>
    <row r="362" spans="1:7" x14ac:dyDescent="0.25">
      <c r="A362" s="7">
        <v>45789</v>
      </c>
      <c r="B362" s="8" t="s">
        <v>14</v>
      </c>
      <c r="C362" s="8" t="s">
        <v>5</v>
      </c>
      <c r="E362" s="8" t="s">
        <v>186</v>
      </c>
      <c r="F362" s="9">
        <v>1398</v>
      </c>
      <c r="G362" s="9"/>
    </row>
    <row r="363" spans="1:7" x14ac:dyDescent="0.25">
      <c r="A363" s="7">
        <v>45789</v>
      </c>
      <c r="B363" s="8" t="s">
        <v>13</v>
      </c>
      <c r="C363" s="8" t="s">
        <v>5</v>
      </c>
      <c r="E363" s="8" t="s">
        <v>187</v>
      </c>
      <c r="F363" s="9">
        <v>1463</v>
      </c>
      <c r="G363" s="9"/>
    </row>
    <row r="364" spans="1:7" x14ac:dyDescent="0.25">
      <c r="A364" s="7">
        <v>45789</v>
      </c>
      <c r="B364" s="8" t="s">
        <v>13</v>
      </c>
      <c r="C364" s="8" t="s">
        <v>5</v>
      </c>
      <c r="E364" s="8" t="s">
        <v>236</v>
      </c>
      <c r="F364" s="9">
        <v>889.73</v>
      </c>
      <c r="G364" s="9"/>
    </row>
    <row r="365" spans="1:7" x14ac:dyDescent="0.25">
      <c r="A365" s="7">
        <v>45789</v>
      </c>
      <c r="B365" s="8" t="s">
        <v>13</v>
      </c>
      <c r="C365" s="8" t="s">
        <v>5</v>
      </c>
      <c r="E365" s="8" t="s">
        <v>155</v>
      </c>
      <c r="F365" s="9">
        <v>760</v>
      </c>
      <c r="G365" s="9"/>
    </row>
    <row r="366" spans="1:7" x14ac:dyDescent="0.25">
      <c r="A366" s="7">
        <v>45789</v>
      </c>
      <c r="B366" s="8" t="s">
        <v>13</v>
      </c>
      <c r="C366" s="8" t="s">
        <v>113</v>
      </c>
      <c r="E366" s="8" t="s">
        <v>145</v>
      </c>
      <c r="F366" s="9">
        <v>10500</v>
      </c>
      <c r="G366" s="9"/>
    </row>
    <row r="367" spans="1:7" x14ac:dyDescent="0.25">
      <c r="A367" s="7">
        <v>45789</v>
      </c>
      <c r="B367" s="8" t="s">
        <v>14</v>
      </c>
      <c r="C367" s="8" t="s">
        <v>25</v>
      </c>
      <c r="E367" s="8" t="s">
        <v>27</v>
      </c>
      <c r="F367" s="9">
        <v>1660</v>
      </c>
      <c r="G367" s="9"/>
    </row>
    <row r="368" spans="1:7" x14ac:dyDescent="0.25">
      <c r="A368" s="7">
        <v>45789</v>
      </c>
      <c r="B368" s="8" t="s">
        <v>13</v>
      </c>
      <c r="C368" s="8" t="s">
        <v>20</v>
      </c>
      <c r="E368" s="8" t="s">
        <v>62</v>
      </c>
      <c r="F368" s="9">
        <v>640</v>
      </c>
      <c r="G368" s="9"/>
    </row>
    <row r="369" spans="1:7" x14ac:dyDescent="0.25">
      <c r="A369" s="7">
        <v>45789</v>
      </c>
      <c r="B369" s="8" t="s">
        <v>13</v>
      </c>
      <c r="C369" s="8" t="s">
        <v>25</v>
      </c>
      <c r="E369" s="8" t="s">
        <v>139</v>
      </c>
      <c r="F369" s="9">
        <v>180</v>
      </c>
      <c r="G369" s="9"/>
    </row>
    <row r="370" spans="1:7" x14ac:dyDescent="0.25">
      <c r="A370" s="7">
        <v>45789</v>
      </c>
      <c r="B370" s="8" t="s">
        <v>13</v>
      </c>
      <c r="C370" s="8" t="s">
        <v>25</v>
      </c>
      <c r="E370" s="8" t="s">
        <v>226</v>
      </c>
      <c r="F370" s="9">
        <v>750</v>
      </c>
      <c r="G370" s="9"/>
    </row>
    <row r="371" spans="1:7" x14ac:dyDescent="0.25">
      <c r="A371" s="7">
        <v>45789</v>
      </c>
      <c r="B371" s="8" t="s">
        <v>13</v>
      </c>
      <c r="C371" s="8" t="s">
        <v>25</v>
      </c>
      <c r="E371" s="8" t="s">
        <v>227</v>
      </c>
      <c r="F371" s="9">
        <v>900</v>
      </c>
      <c r="G371" s="9"/>
    </row>
    <row r="372" spans="1:7" x14ac:dyDescent="0.25">
      <c r="A372" s="7">
        <v>45790</v>
      </c>
      <c r="B372" s="8" t="s">
        <v>13</v>
      </c>
      <c r="C372" s="8" t="s">
        <v>48</v>
      </c>
      <c r="E372" s="8" t="s">
        <v>228</v>
      </c>
      <c r="F372" s="9">
        <v>17304</v>
      </c>
      <c r="G372" s="9"/>
    </row>
    <row r="373" spans="1:7" x14ac:dyDescent="0.25">
      <c r="A373" s="7">
        <v>45789</v>
      </c>
      <c r="B373" s="8" t="s">
        <v>13</v>
      </c>
      <c r="C373" s="8" t="s">
        <v>112</v>
      </c>
      <c r="E373" s="8" t="s">
        <v>229</v>
      </c>
      <c r="F373" s="9">
        <v>15000</v>
      </c>
      <c r="G373" s="9"/>
    </row>
    <row r="374" spans="1:7" x14ac:dyDescent="0.25">
      <c r="A374" s="7">
        <v>45791</v>
      </c>
      <c r="B374" s="8" t="s">
        <v>15</v>
      </c>
      <c r="C374" s="8" t="s">
        <v>21</v>
      </c>
      <c r="E374" s="8" t="s">
        <v>230</v>
      </c>
      <c r="F374" s="9">
        <v>500</v>
      </c>
      <c r="G374" s="9"/>
    </row>
    <row r="375" spans="1:7" x14ac:dyDescent="0.25">
      <c r="A375" s="7">
        <v>45791</v>
      </c>
      <c r="B375" s="8" t="s">
        <v>16</v>
      </c>
      <c r="C375" s="8" t="s">
        <v>21</v>
      </c>
      <c r="E375" s="8" t="s">
        <v>230</v>
      </c>
      <c r="F375" s="9">
        <v>500</v>
      </c>
      <c r="G375" s="9"/>
    </row>
    <row r="376" spans="1:7" x14ac:dyDescent="0.25">
      <c r="A376" s="7">
        <v>45792</v>
      </c>
      <c r="B376" s="8" t="s">
        <v>13</v>
      </c>
      <c r="C376" s="8" t="s">
        <v>20</v>
      </c>
      <c r="E376" s="8" t="s">
        <v>231</v>
      </c>
      <c r="F376" s="9">
        <v>1595</v>
      </c>
      <c r="G376" s="9"/>
    </row>
    <row r="377" spans="1:7" x14ac:dyDescent="0.25">
      <c r="A377" s="7">
        <v>45792</v>
      </c>
      <c r="B377" s="8" t="s">
        <v>13</v>
      </c>
      <c r="C377" s="8" t="s">
        <v>24</v>
      </c>
      <c r="E377" s="8" t="s">
        <v>232</v>
      </c>
      <c r="F377" s="9">
        <v>11080</v>
      </c>
      <c r="G377" s="9"/>
    </row>
    <row r="378" spans="1:7" x14ac:dyDescent="0.25">
      <c r="A378" s="7">
        <v>45793</v>
      </c>
      <c r="B378" s="8" t="s">
        <v>13</v>
      </c>
      <c r="C378" s="8" t="s">
        <v>26</v>
      </c>
      <c r="E378" s="8" t="s">
        <v>233</v>
      </c>
      <c r="F378" s="9">
        <v>8000</v>
      </c>
      <c r="G378" s="9"/>
    </row>
    <row r="379" spans="1:7" x14ac:dyDescent="0.25">
      <c r="A379" s="7">
        <v>45794</v>
      </c>
      <c r="B379" s="8" t="s">
        <v>13</v>
      </c>
      <c r="C379" s="8" t="s">
        <v>111</v>
      </c>
      <c r="E379" s="8" t="s">
        <v>32</v>
      </c>
      <c r="F379" s="9">
        <v>7440</v>
      </c>
      <c r="G379" s="9"/>
    </row>
    <row r="380" spans="1:7" x14ac:dyDescent="0.25">
      <c r="A380" s="7">
        <v>45794</v>
      </c>
      <c r="B380" s="8" t="s">
        <v>13</v>
      </c>
      <c r="C380" s="8" t="s">
        <v>25</v>
      </c>
      <c r="E380" s="8" t="s">
        <v>143</v>
      </c>
      <c r="F380" s="9">
        <v>2000</v>
      </c>
      <c r="G380" s="9"/>
    </row>
    <row r="381" spans="1:7" x14ac:dyDescent="0.25">
      <c r="A381" s="7">
        <v>45794</v>
      </c>
      <c r="B381" s="8" t="s">
        <v>13</v>
      </c>
      <c r="C381" s="8" t="s">
        <v>25</v>
      </c>
      <c r="E381" s="8" t="s">
        <v>234</v>
      </c>
      <c r="F381" s="9">
        <v>300</v>
      </c>
      <c r="G381" s="9"/>
    </row>
    <row r="382" spans="1:7" x14ac:dyDescent="0.25">
      <c r="A382" s="7">
        <v>45794</v>
      </c>
      <c r="B382" s="8" t="s">
        <v>13</v>
      </c>
      <c r="C382" s="8" t="s">
        <v>20</v>
      </c>
      <c r="E382" s="8" t="s">
        <v>235</v>
      </c>
      <c r="F382" s="9">
        <v>1000</v>
      </c>
      <c r="G382" s="9"/>
    </row>
    <row r="383" spans="1:7" x14ac:dyDescent="0.25">
      <c r="A383" s="7">
        <v>45796</v>
      </c>
      <c r="B383" s="15"/>
      <c r="C383" s="8" t="s">
        <v>25</v>
      </c>
      <c r="E383" s="8" t="s">
        <v>27</v>
      </c>
      <c r="F383" s="9">
        <v>1500</v>
      </c>
      <c r="G383" s="9"/>
    </row>
    <row r="384" spans="1:7" x14ac:dyDescent="0.25">
      <c r="A384" s="7">
        <v>45796</v>
      </c>
      <c r="B384" s="15"/>
      <c r="C384" s="8" t="s">
        <v>20</v>
      </c>
      <c r="E384" s="8" t="s">
        <v>62</v>
      </c>
      <c r="F384" s="9">
        <v>900</v>
      </c>
      <c r="G384" s="9"/>
    </row>
    <row r="385" spans="1:7" x14ac:dyDescent="0.25">
      <c r="A385" s="7">
        <v>45796</v>
      </c>
      <c r="B385" s="15"/>
      <c r="C385" s="8" t="s">
        <v>25</v>
      </c>
      <c r="E385" s="8" t="s">
        <v>139</v>
      </c>
      <c r="F385" s="9">
        <v>300</v>
      </c>
      <c r="G385" s="9"/>
    </row>
    <row r="386" spans="1:7" x14ac:dyDescent="0.25">
      <c r="A386" s="7">
        <v>45796</v>
      </c>
      <c r="B386" s="15"/>
      <c r="C386" s="8" t="s">
        <v>25</v>
      </c>
      <c r="E386" s="8" t="s">
        <v>47</v>
      </c>
      <c r="F386" s="9">
        <v>1500</v>
      </c>
      <c r="G386" s="9"/>
    </row>
    <row r="387" spans="1:7" x14ac:dyDescent="0.25">
      <c r="A387" s="7">
        <v>45796</v>
      </c>
      <c r="B387" s="15"/>
      <c r="C387" s="8" t="s">
        <v>48</v>
      </c>
      <c r="E387" s="8" t="s">
        <v>242</v>
      </c>
      <c r="F387" s="9">
        <v>11390</v>
      </c>
      <c r="G387" s="9"/>
    </row>
    <row r="388" spans="1:7" x14ac:dyDescent="0.25">
      <c r="A388" s="7">
        <v>45798</v>
      </c>
      <c r="B388" s="15"/>
      <c r="C388" s="8" t="s">
        <v>21</v>
      </c>
      <c r="E388" s="8" t="s">
        <v>243</v>
      </c>
      <c r="F388" s="9">
        <v>1000</v>
      </c>
      <c r="G388" s="9"/>
    </row>
    <row r="389" spans="1:7" x14ac:dyDescent="0.25">
      <c r="A389" s="7">
        <v>45798</v>
      </c>
      <c r="B389" s="15" t="s">
        <v>136</v>
      </c>
      <c r="C389" s="8" t="s">
        <v>112</v>
      </c>
      <c r="E389" s="8" t="s">
        <v>244</v>
      </c>
      <c r="F389" s="9">
        <v>5590</v>
      </c>
      <c r="G389" s="9"/>
    </row>
    <row r="390" spans="1:7" x14ac:dyDescent="0.25">
      <c r="A390" s="7">
        <v>45798</v>
      </c>
      <c r="B390" s="15"/>
      <c r="C390" s="8" t="s">
        <v>26</v>
      </c>
      <c r="E390" s="8" t="s">
        <v>30</v>
      </c>
      <c r="F390" s="9">
        <v>500</v>
      </c>
      <c r="G390" s="9"/>
    </row>
    <row r="391" spans="1:7" x14ac:dyDescent="0.25">
      <c r="A391" s="7">
        <v>45798</v>
      </c>
      <c r="B391" s="15"/>
      <c r="C391" s="8" t="s">
        <v>25</v>
      </c>
      <c r="E391" s="8" t="s">
        <v>245</v>
      </c>
      <c r="F391" s="9">
        <v>500</v>
      </c>
      <c r="G391" s="9"/>
    </row>
    <row r="392" spans="1:7" x14ac:dyDescent="0.25">
      <c r="A392" s="7">
        <v>45799</v>
      </c>
      <c r="B392" s="15"/>
      <c r="C392" s="8" t="s">
        <v>25</v>
      </c>
      <c r="E392" s="8" t="s">
        <v>143</v>
      </c>
      <c r="F392" s="9">
        <v>2000</v>
      </c>
      <c r="G392" s="9"/>
    </row>
    <row r="393" spans="1:7" x14ac:dyDescent="0.25">
      <c r="A393" s="7">
        <v>45799</v>
      </c>
      <c r="B393" s="15"/>
      <c r="C393" s="8" t="s">
        <v>25</v>
      </c>
      <c r="E393" s="8" t="s">
        <v>246</v>
      </c>
      <c r="F393" s="9">
        <v>500</v>
      </c>
      <c r="G393" s="9"/>
    </row>
    <row r="394" spans="1:7" x14ac:dyDescent="0.25">
      <c r="A394" s="7">
        <v>45800</v>
      </c>
      <c r="B394" s="15" t="s">
        <v>9</v>
      </c>
      <c r="D394" s="8" t="s">
        <v>9</v>
      </c>
      <c r="E394" s="8" t="s">
        <v>252</v>
      </c>
      <c r="F394" s="9"/>
      <c r="G394" s="9">
        <v>23000</v>
      </c>
    </row>
    <row r="395" spans="1:7" x14ac:dyDescent="0.25">
      <c r="A395" s="7">
        <v>45800</v>
      </c>
      <c r="B395" s="15"/>
      <c r="C395" s="8" t="s">
        <v>111</v>
      </c>
      <c r="E395" s="8" t="s">
        <v>247</v>
      </c>
      <c r="F395" s="9">
        <v>4275</v>
      </c>
      <c r="G395" s="9"/>
    </row>
    <row r="396" spans="1:7" x14ac:dyDescent="0.25">
      <c r="A396" s="7">
        <v>45800</v>
      </c>
      <c r="B396" s="15"/>
      <c r="C396" s="8" t="s">
        <v>20</v>
      </c>
      <c r="E396" s="8" t="s">
        <v>248</v>
      </c>
      <c r="F396" s="9">
        <v>590</v>
      </c>
      <c r="G396" s="9"/>
    </row>
    <row r="397" spans="1:7" x14ac:dyDescent="0.25">
      <c r="A397" s="7">
        <v>45800</v>
      </c>
      <c r="B397" s="15" t="s">
        <v>136</v>
      </c>
      <c r="C397" s="8" t="s">
        <v>112</v>
      </c>
      <c r="E397" s="8" t="s">
        <v>253</v>
      </c>
      <c r="F397" s="9">
        <v>58154</v>
      </c>
      <c r="G397" s="9"/>
    </row>
    <row r="398" spans="1:7" x14ac:dyDescent="0.25">
      <c r="A398" s="7">
        <v>45801</v>
      </c>
      <c r="B398" s="15"/>
      <c r="C398" s="8" t="s">
        <v>25</v>
      </c>
      <c r="E398" s="8" t="s">
        <v>143</v>
      </c>
      <c r="F398" s="9">
        <v>2000</v>
      </c>
      <c r="G398" s="9"/>
    </row>
    <row r="399" spans="1:7" x14ac:dyDescent="0.25">
      <c r="A399" s="7">
        <v>45801</v>
      </c>
      <c r="B399" s="15"/>
      <c r="C399" s="8" t="s">
        <v>111</v>
      </c>
      <c r="E399" s="8" t="s">
        <v>32</v>
      </c>
      <c r="F399" s="9">
        <v>12957</v>
      </c>
      <c r="G399" s="9"/>
    </row>
    <row r="400" spans="1:7" x14ac:dyDescent="0.25">
      <c r="A400" s="7">
        <v>45801</v>
      </c>
      <c r="B400" s="15"/>
      <c r="C400" s="8" t="s">
        <v>1</v>
      </c>
      <c r="E400" s="8" t="s">
        <v>249</v>
      </c>
      <c r="F400" s="9">
        <v>470</v>
      </c>
      <c r="G400" s="9"/>
    </row>
    <row r="401" spans="1:7" x14ac:dyDescent="0.25">
      <c r="A401" s="7">
        <v>45801</v>
      </c>
      <c r="B401" s="15"/>
      <c r="C401" s="8" t="s">
        <v>20</v>
      </c>
      <c r="E401" s="8" t="s">
        <v>250</v>
      </c>
      <c r="F401" s="9">
        <v>410</v>
      </c>
      <c r="G401" s="9"/>
    </row>
    <row r="402" spans="1:7" x14ac:dyDescent="0.25">
      <c r="A402" s="7">
        <v>45803</v>
      </c>
      <c r="B402" s="15" t="s">
        <v>13</v>
      </c>
      <c r="D402" s="8" t="s">
        <v>68</v>
      </c>
      <c r="E402" s="8" t="s">
        <v>121</v>
      </c>
      <c r="F402" s="9"/>
      <c r="G402" s="9">
        <v>35000</v>
      </c>
    </row>
    <row r="403" spans="1:7" x14ac:dyDescent="0.25">
      <c r="A403" s="7">
        <v>45803</v>
      </c>
      <c r="B403" s="15"/>
      <c r="C403" s="8" t="s">
        <v>25</v>
      </c>
      <c r="E403" s="8" t="s">
        <v>27</v>
      </c>
      <c r="F403" s="9">
        <v>1500</v>
      </c>
      <c r="G403" s="9"/>
    </row>
    <row r="404" spans="1:7" x14ac:dyDescent="0.25">
      <c r="A404" s="7">
        <v>45803</v>
      </c>
      <c r="B404" s="15"/>
      <c r="C404" s="8" t="s">
        <v>20</v>
      </c>
      <c r="E404" s="8" t="s">
        <v>62</v>
      </c>
      <c r="F404" s="9">
        <v>900</v>
      </c>
      <c r="G404" s="9"/>
    </row>
    <row r="405" spans="1:7" x14ac:dyDescent="0.25">
      <c r="A405" s="7">
        <v>45803</v>
      </c>
      <c r="B405" s="15"/>
      <c r="C405" s="8" t="s">
        <v>25</v>
      </c>
      <c r="E405" s="8" t="s">
        <v>139</v>
      </c>
      <c r="F405" s="9">
        <v>300</v>
      </c>
      <c r="G405" s="9"/>
    </row>
    <row r="406" spans="1:7" x14ac:dyDescent="0.25">
      <c r="A406" s="7">
        <v>45803</v>
      </c>
      <c r="B406" s="15"/>
      <c r="C406" s="8" t="s">
        <v>25</v>
      </c>
      <c r="E406" s="8" t="s">
        <v>47</v>
      </c>
      <c r="F406" s="9">
        <v>1500</v>
      </c>
      <c r="G406" s="9"/>
    </row>
    <row r="407" spans="1:7" x14ac:dyDescent="0.25">
      <c r="A407" s="7">
        <v>45804</v>
      </c>
      <c r="B407" s="15" t="s">
        <v>14</v>
      </c>
      <c r="D407" s="8" t="s">
        <v>68</v>
      </c>
      <c r="E407" s="8" t="s">
        <v>75</v>
      </c>
      <c r="F407" s="9"/>
      <c r="G407" s="9">
        <v>50000</v>
      </c>
    </row>
    <row r="408" spans="1:7" x14ac:dyDescent="0.25">
      <c r="A408" s="7">
        <v>45805</v>
      </c>
      <c r="B408" s="15" t="s">
        <v>136</v>
      </c>
      <c r="D408" s="8" t="s">
        <v>69</v>
      </c>
      <c r="E408" s="8" t="s">
        <v>74</v>
      </c>
      <c r="F408" s="9"/>
      <c r="G408" s="9">
        <v>65000</v>
      </c>
    </row>
    <row r="409" spans="1:7" x14ac:dyDescent="0.25">
      <c r="A409" s="7">
        <v>45805</v>
      </c>
      <c r="B409" s="15"/>
      <c r="C409" s="8" t="s">
        <v>21</v>
      </c>
      <c r="E409" s="8" t="s">
        <v>230</v>
      </c>
      <c r="F409" s="9">
        <v>1000</v>
      </c>
      <c r="G409" s="9"/>
    </row>
    <row r="410" spans="1:7" x14ac:dyDescent="0.25">
      <c r="A410" s="7">
        <v>45805</v>
      </c>
      <c r="B410" s="15" t="s">
        <v>136</v>
      </c>
      <c r="C410" s="8" t="s">
        <v>115</v>
      </c>
      <c r="E410" s="8" t="s">
        <v>254</v>
      </c>
      <c r="F410" s="9">
        <v>16000</v>
      </c>
      <c r="G410" s="9"/>
    </row>
    <row r="411" spans="1:7" x14ac:dyDescent="0.25">
      <c r="A411" s="7">
        <v>45806</v>
      </c>
      <c r="B411" s="15"/>
      <c r="C411" s="8" t="s">
        <v>20</v>
      </c>
      <c r="E411" s="8" t="s">
        <v>60</v>
      </c>
      <c r="F411" s="9">
        <v>1800</v>
      </c>
      <c r="G411" s="9"/>
    </row>
    <row r="412" spans="1:7" x14ac:dyDescent="0.25">
      <c r="A412" s="7">
        <v>45807</v>
      </c>
      <c r="B412" s="15"/>
      <c r="C412" s="8" t="s">
        <v>111</v>
      </c>
      <c r="E412" s="8" t="s">
        <v>247</v>
      </c>
      <c r="F412" s="9">
        <v>6037</v>
      </c>
      <c r="G412" s="9"/>
    </row>
    <row r="413" spans="1:7" x14ac:dyDescent="0.25">
      <c r="A413" s="7">
        <v>45807</v>
      </c>
      <c r="B413" s="15"/>
      <c r="C413" s="8" t="s">
        <v>49</v>
      </c>
      <c r="E413" s="8" t="s">
        <v>251</v>
      </c>
      <c r="F413" s="9">
        <v>1000</v>
      </c>
      <c r="G413" s="9"/>
    </row>
    <row r="414" spans="1:7" x14ac:dyDescent="0.25">
      <c r="A414" s="7">
        <v>45807</v>
      </c>
      <c r="B414" s="15"/>
      <c r="C414" s="8" t="s">
        <v>43</v>
      </c>
      <c r="E414" s="8" t="s">
        <v>43</v>
      </c>
      <c r="F414" s="9">
        <v>695</v>
      </c>
      <c r="G414" s="9"/>
    </row>
    <row r="415" spans="1:7" x14ac:dyDescent="0.25">
      <c r="A415" s="7">
        <v>45807</v>
      </c>
      <c r="B415" s="15"/>
      <c r="C415" s="8" t="s">
        <v>3</v>
      </c>
      <c r="E415" s="8" t="s">
        <v>95</v>
      </c>
      <c r="F415" s="9">
        <v>3757.59</v>
      </c>
      <c r="G415" s="9"/>
    </row>
    <row r="416" spans="1:7" x14ac:dyDescent="0.25">
      <c r="A416" s="7">
        <v>45807</v>
      </c>
      <c r="B416" s="15"/>
      <c r="C416" s="8" t="s">
        <v>2</v>
      </c>
      <c r="E416" s="8" t="s">
        <v>265</v>
      </c>
      <c r="F416" s="9">
        <v>3784</v>
      </c>
      <c r="G416" s="9"/>
    </row>
    <row r="417" spans="1:7" x14ac:dyDescent="0.25">
      <c r="A417" s="7">
        <v>45807</v>
      </c>
      <c r="B417" s="15"/>
      <c r="C417" s="8" t="s">
        <v>26</v>
      </c>
      <c r="E417" s="8" t="s">
        <v>30</v>
      </c>
      <c r="F417" s="9">
        <v>7500</v>
      </c>
      <c r="G417" s="9"/>
    </row>
    <row r="418" spans="1:7" x14ac:dyDescent="0.25">
      <c r="A418" s="7">
        <v>45807</v>
      </c>
      <c r="B418" s="15"/>
      <c r="C418" s="8" t="s">
        <v>112</v>
      </c>
      <c r="E418" s="8" t="s">
        <v>42</v>
      </c>
      <c r="F418" s="9">
        <v>60000</v>
      </c>
      <c r="G418" s="9"/>
    </row>
    <row r="419" spans="1:7" x14ac:dyDescent="0.25">
      <c r="A419" s="7">
        <v>45808</v>
      </c>
      <c r="B419" s="15"/>
      <c r="C419" s="8" t="s">
        <v>25</v>
      </c>
      <c r="E419" s="8" t="s">
        <v>146</v>
      </c>
      <c r="F419" s="9">
        <v>5822</v>
      </c>
      <c r="G419" s="9"/>
    </row>
    <row r="420" spans="1:7" x14ac:dyDescent="0.25">
      <c r="A420" s="7">
        <v>45808</v>
      </c>
      <c r="B420" s="15"/>
      <c r="C420" s="8" t="s">
        <v>25</v>
      </c>
      <c r="E420" s="8" t="s">
        <v>143</v>
      </c>
      <c r="F420" s="9">
        <v>2000</v>
      </c>
      <c r="G420" s="9"/>
    </row>
    <row r="421" spans="1:7" x14ac:dyDescent="0.25">
      <c r="A421" s="7">
        <v>45808</v>
      </c>
      <c r="B421" s="15"/>
      <c r="C421" s="8" t="s">
        <v>111</v>
      </c>
      <c r="E421" s="8" t="s">
        <v>32</v>
      </c>
      <c r="F421" s="9">
        <v>9257.18</v>
      </c>
      <c r="G421" s="9"/>
    </row>
    <row r="422" spans="1:7" x14ac:dyDescent="0.25">
      <c r="A422" s="7">
        <v>45810</v>
      </c>
      <c r="B422" s="15" t="s">
        <v>136</v>
      </c>
      <c r="D422" s="8" t="s">
        <v>69</v>
      </c>
      <c r="E422" s="8" t="s">
        <v>76</v>
      </c>
      <c r="F422" s="9"/>
      <c r="G422" s="9">
        <v>60000</v>
      </c>
    </row>
    <row r="423" spans="1:7" x14ac:dyDescent="0.25">
      <c r="A423" s="7">
        <v>45810</v>
      </c>
      <c r="B423" s="15"/>
      <c r="C423" s="8" t="s">
        <v>25</v>
      </c>
      <c r="E423" s="8" t="s">
        <v>31</v>
      </c>
      <c r="F423" s="9">
        <v>1000</v>
      </c>
      <c r="G423" s="9"/>
    </row>
    <row r="424" spans="1:7" x14ac:dyDescent="0.25">
      <c r="A424" s="7">
        <v>45811</v>
      </c>
      <c r="B424" s="15"/>
      <c r="C424" s="8" t="s">
        <v>25</v>
      </c>
      <c r="E424" s="8" t="s">
        <v>27</v>
      </c>
      <c r="F424" s="9">
        <v>1500</v>
      </c>
      <c r="G424" s="9"/>
    </row>
    <row r="425" spans="1:7" x14ac:dyDescent="0.25">
      <c r="A425" s="7">
        <v>45811</v>
      </c>
      <c r="B425" s="15"/>
      <c r="C425" s="8" t="s">
        <v>20</v>
      </c>
      <c r="E425" s="8" t="s">
        <v>62</v>
      </c>
      <c r="F425" s="9">
        <v>900</v>
      </c>
      <c r="G425" s="9"/>
    </row>
    <row r="426" spans="1:7" x14ac:dyDescent="0.25">
      <c r="A426" s="7">
        <v>45811</v>
      </c>
      <c r="B426" s="15"/>
      <c r="C426" s="8" t="s">
        <v>25</v>
      </c>
      <c r="E426" s="8" t="s">
        <v>139</v>
      </c>
      <c r="F426" s="9">
        <v>300</v>
      </c>
      <c r="G426" s="9"/>
    </row>
    <row r="427" spans="1:7" x14ac:dyDescent="0.25">
      <c r="A427" s="7">
        <v>45812</v>
      </c>
      <c r="B427" s="15"/>
      <c r="C427" s="8" t="s">
        <v>21</v>
      </c>
      <c r="E427" s="8" t="s">
        <v>243</v>
      </c>
      <c r="F427" s="9">
        <v>1000</v>
      </c>
      <c r="G427" s="9"/>
    </row>
    <row r="428" spans="1:7" x14ac:dyDescent="0.25">
      <c r="A428" s="7">
        <v>45781</v>
      </c>
      <c r="B428" s="15"/>
      <c r="C428" s="8" t="s">
        <v>25</v>
      </c>
      <c r="E428" s="8" t="s">
        <v>255</v>
      </c>
      <c r="F428" s="9">
        <v>500</v>
      </c>
      <c r="G428" s="9"/>
    </row>
    <row r="429" spans="1:7" x14ac:dyDescent="0.25">
      <c r="A429" s="7">
        <v>45812</v>
      </c>
      <c r="B429" s="15"/>
      <c r="C429" s="8" t="s">
        <v>111</v>
      </c>
      <c r="E429" s="8" t="s">
        <v>208</v>
      </c>
      <c r="F429" s="9">
        <v>9156</v>
      </c>
      <c r="G429" s="9"/>
    </row>
    <row r="430" spans="1:7" x14ac:dyDescent="0.25">
      <c r="A430" s="7">
        <v>45814</v>
      </c>
      <c r="B430" s="15"/>
      <c r="C430" s="8" t="s">
        <v>25</v>
      </c>
      <c r="E430" s="8" t="s">
        <v>47</v>
      </c>
      <c r="F430" s="9">
        <v>1500</v>
      </c>
      <c r="G430" s="9"/>
    </row>
    <row r="431" spans="1:7" x14ac:dyDescent="0.25">
      <c r="A431" s="7">
        <v>45815</v>
      </c>
      <c r="B431" s="15"/>
      <c r="C431" s="8" t="s">
        <v>111</v>
      </c>
      <c r="E431" s="8" t="s">
        <v>32</v>
      </c>
      <c r="F431" s="9">
        <v>9571.09</v>
      </c>
      <c r="G431" s="9"/>
    </row>
    <row r="432" spans="1:7" x14ac:dyDescent="0.25">
      <c r="A432" s="7">
        <v>45815</v>
      </c>
      <c r="B432" s="15"/>
      <c r="C432" s="8" t="s">
        <v>25</v>
      </c>
      <c r="E432" s="8" t="s">
        <v>143</v>
      </c>
      <c r="F432" s="9">
        <v>6000</v>
      </c>
      <c r="G432" s="9"/>
    </row>
    <row r="433" spans="1:7" x14ac:dyDescent="0.25">
      <c r="A433" s="7">
        <v>45816</v>
      </c>
      <c r="B433" s="15"/>
      <c r="C433" s="8" t="s">
        <v>21</v>
      </c>
      <c r="E433" s="8" t="s">
        <v>224</v>
      </c>
      <c r="F433" s="9">
        <v>3000</v>
      </c>
      <c r="G433" s="9"/>
    </row>
    <row r="434" spans="1:7" x14ac:dyDescent="0.25">
      <c r="A434" s="7">
        <v>45816</v>
      </c>
      <c r="B434" s="15"/>
      <c r="C434" s="8" t="s">
        <v>48</v>
      </c>
      <c r="E434" s="8" t="s">
        <v>256</v>
      </c>
      <c r="F434" s="9">
        <v>2600</v>
      </c>
      <c r="G434" s="9"/>
    </row>
    <row r="435" spans="1:7" x14ac:dyDescent="0.25">
      <c r="A435" s="7">
        <v>45817</v>
      </c>
      <c r="B435" s="15"/>
      <c r="C435" s="8" t="s">
        <v>25</v>
      </c>
      <c r="E435" s="8" t="s">
        <v>257</v>
      </c>
      <c r="F435" s="9">
        <v>1000</v>
      </c>
      <c r="G435" s="9"/>
    </row>
    <row r="436" spans="1:7" x14ac:dyDescent="0.25">
      <c r="A436" s="7">
        <v>45817</v>
      </c>
      <c r="B436" s="15"/>
      <c r="C436" s="8" t="s">
        <v>5</v>
      </c>
      <c r="E436" s="8" t="s">
        <v>266</v>
      </c>
      <c r="F436" s="9">
        <v>2595.5</v>
      </c>
      <c r="G436" s="9"/>
    </row>
    <row r="437" spans="1:7" x14ac:dyDescent="0.25">
      <c r="A437" s="7">
        <v>45817</v>
      </c>
      <c r="B437" s="15"/>
      <c r="C437" s="8" t="s">
        <v>5</v>
      </c>
      <c r="E437" s="8" t="s">
        <v>267</v>
      </c>
      <c r="F437" s="9">
        <v>800</v>
      </c>
      <c r="G437" s="9"/>
    </row>
    <row r="438" spans="1:7" x14ac:dyDescent="0.25">
      <c r="A438" s="7">
        <v>45818</v>
      </c>
      <c r="B438" s="15" t="s">
        <v>13</v>
      </c>
      <c r="D438" s="8" t="s">
        <v>68</v>
      </c>
      <c r="E438" s="8" t="s">
        <v>73</v>
      </c>
      <c r="F438" s="9"/>
      <c r="G438" s="9">
        <v>148000</v>
      </c>
    </row>
    <row r="439" spans="1:7" x14ac:dyDescent="0.25">
      <c r="A439" s="7">
        <v>45818</v>
      </c>
      <c r="B439" s="15"/>
      <c r="C439" s="8" t="s">
        <v>25</v>
      </c>
      <c r="E439" s="8" t="s">
        <v>258</v>
      </c>
      <c r="F439" s="9">
        <v>3000</v>
      </c>
      <c r="G439" s="9"/>
    </row>
    <row r="440" spans="1:7" x14ac:dyDescent="0.25">
      <c r="A440" s="7">
        <v>45818</v>
      </c>
      <c r="B440" s="15"/>
      <c r="C440" s="8" t="s">
        <v>20</v>
      </c>
      <c r="E440" s="8" t="s">
        <v>60</v>
      </c>
      <c r="F440" s="9">
        <v>1708</v>
      </c>
      <c r="G440" s="9"/>
    </row>
    <row r="441" spans="1:7" x14ac:dyDescent="0.25">
      <c r="A441" s="7">
        <v>45818</v>
      </c>
      <c r="B441" s="15"/>
      <c r="C441" s="8" t="s">
        <v>5</v>
      </c>
      <c r="E441" s="8" t="s">
        <v>259</v>
      </c>
      <c r="F441" s="9">
        <v>3487.31</v>
      </c>
      <c r="G441" s="9"/>
    </row>
    <row r="442" spans="1:7" x14ac:dyDescent="0.25">
      <c r="A442" s="7">
        <v>45818</v>
      </c>
      <c r="B442" s="15"/>
      <c r="C442" s="8" t="s">
        <v>113</v>
      </c>
      <c r="E442" s="8" t="s">
        <v>145</v>
      </c>
      <c r="F442" s="9">
        <v>10500</v>
      </c>
      <c r="G442" s="9"/>
    </row>
    <row r="443" spans="1:7" x14ac:dyDescent="0.25">
      <c r="A443" s="7">
        <v>45819</v>
      </c>
      <c r="B443" s="15"/>
      <c r="C443" s="8" t="s">
        <v>21</v>
      </c>
      <c r="E443" s="8" t="s">
        <v>243</v>
      </c>
      <c r="F443" s="9">
        <v>1000</v>
      </c>
      <c r="G443" s="9"/>
    </row>
    <row r="444" spans="1:7" x14ac:dyDescent="0.25">
      <c r="A444" s="7">
        <v>45819</v>
      </c>
      <c r="B444" s="15"/>
      <c r="C444" s="8" t="s">
        <v>112</v>
      </c>
      <c r="E444" s="8" t="s">
        <v>260</v>
      </c>
      <c r="F444" s="9">
        <v>10000</v>
      </c>
      <c r="G444" s="9"/>
    </row>
    <row r="445" spans="1:7" x14ac:dyDescent="0.25">
      <c r="A445" s="7">
        <v>45819</v>
      </c>
      <c r="B445" s="15"/>
      <c r="C445" s="8" t="s">
        <v>113</v>
      </c>
      <c r="E445" s="8" t="s">
        <v>261</v>
      </c>
      <c r="F445" s="9">
        <v>11500</v>
      </c>
      <c r="G445" s="9"/>
    </row>
    <row r="446" spans="1:7" x14ac:dyDescent="0.25">
      <c r="A446" s="7">
        <v>45818</v>
      </c>
      <c r="B446" s="15"/>
      <c r="C446" s="8" t="s">
        <v>25</v>
      </c>
      <c r="E446" s="8" t="s">
        <v>27</v>
      </c>
      <c r="F446" s="9">
        <v>1500</v>
      </c>
      <c r="G446" s="9"/>
    </row>
    <row r="447" spans="1:7" x14ac:dyDescent="0.25">
      <c r="A447" s="7">
        <v>45818</v>
      </c>
      <c r="B447" s="15"/>
      <c r="C447" s="8" t="s">
        <v>20</v>
      </c>
      <c r="E447" s="8" t="s">
        <v>62</v>
      </c>
      <c r="F447" s="9">
        <v>900</v>
      </c>
      <c r="G447" s="9"/>
    </row>
    <row r="448" spans="1:7" x14ac:dyDescent="0.25">
      <c r="A448" s="7">
        <v>45818</v>
      </c>
      <c r="B448" s="15"/>
      <c r="C448" s="8" t="s">
        <v>25</v>
      </c>
      <c r="E448" s="8" t="s">
        <v>139</v>
      </c>
      <c r="F448" s="9">
        <v>580</v>
      </c>
      <c r="G448" s="9"/>
    </row>
    <row r="449" spans="1:7" x14ac:dyDescent="0.25">
      <c r="A449" s="7">
        <v>45819</v>
      </c>
      <c r="B449" s="15"/>
      <c r="C449" s="8" t="s">
        <v>112</v>
      </c>
      <c r="E449" s="8" t="s">
        <v>262</v>
      </c>
      <c r="F449" s="9">
        <v>57000</v>
      </c>
      <c r="G449" s="9"/>
    </row>
    <row r="450" spans="1:7" x14ac:dyDescent="0.25">
      <c r="A450" s="7">
        <v>45819</v>
      </c>
      <c r="B450" s="15"/>
      <c r="C450" s="8" t="s">
        <v>112</v>
      </c>
      <c r="E450" s="8" t="s">
        <v>263</v>
      </c>
      <c r="F450" s="9">
        <v>30000</v>
      </c>
      <c r="G450" s="9"/>
    </row>
    <row r="451" spans="1:7" x14ac:dyDescent="0.25">
      <c r="A451" s="7">
        <v>45819</v>
      </c>
      <c r="B451" s="15"/>
      <c r="C451" s="8" t="s">
        <v>25</v>
      </c>
      <c r="E451" s="8" t="s">
        <v>255</v>
      </c>
      <c r="F451" s="9">
        <v>905</v>
      </c>
      <c r="G451" s="9"/>
    </row>
    <row r="452" spans="1:7" x14ac:dyDescent="0.25">
      <c r="A452" s="7">
        <v>45819</v>
      </c>
      <c r="B452" s="15"/>
      <c r="C452" s="8" t="s">
        <v>111</v>
      </c>
      <c r="E452" s="8" t="s">
        <v>208</v>
      </c>
      <c r="F452" s="9">
        <v>8900</v>
      </c>
      <c r="G452" s="9"/>
    </row>
    <row r="453" spans="1:7" x14ac:dyDescent="0.25">
      <c r="A453" s="7">
        <v>45821</v>
      </c>
      <c r="B453" s="15"/>
      <c r="C453" s="8" t="s">
        <v>20</v>
      </c>
      <c r="E453" s="8" t="s">
        <v>216</v>
      </c>
      <c r="F453" s="9">
        <v>400</v>
      </c>
      <c r="G453" s="9"/>
    </row>
    <row r="454" spans="1:7" x14ac:dyDescent="0.25">
      <c r="A454" s="7">
        <v>45821</v>
      </c>
      <c r="B454" s="15"/>
      <c r="C454" s="8" t="s">
        <v>25</v>
      </c>
      <c r="E454" s="8" t="s">
        <v>47</v>
      </c>
      <c r="F454" s="9">
        <v>1500</v>
      </c>
      <c r="G454" s="9"/>
    </row>
    <row r="455" spans="1:7" x14ac:dyDescent="0.25">
      <c r="A455" s="7">
        <v>45821</v>
      </c>
      <c r="B455" s="15"/>
      <c r="C455" s="8" t="s">
        <v>26</v>
      </c>
      <c r="E455" s="8" t="s">
        <v>264</v>
      </c>
      <c r="F455" s="9">
        <v>6800</v>
      </c>
      <c r="G455" s="9"/>
    </row>
    <row r="456" spans="1:7" x14ac:dyDescent="0.25">
      <c r="A456" s="7">
        <v>45822</v>
      </c>
      <c r="B456" s="15"/>
      <c r="C456" s="8" t="s">
        <v>111</v>
      </c>
      <c r="E456" s="8" t="s">
        <v>32</v>
      </c>
      <c r="F456" s="9">
        <v>7126.51</v>
      </c>
      <c r="G456" s="9"/>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51BFE16-862C-47D5-9AC6-68F9EE1A1C78}">
          <x14:formula1>
            <xm:f>Mapping!$B$3:$B$25</xm:f>
          </x14:formula1>
          <xm:sqref>C2:C456</xm:sqref>
        </x14:dataValidation>
        <x14:dataValidation type="list" allowBlank="1" showInputMessage="1" showErrorMessage="1" xr:uid="{16BAE8CB-4411-40F4-855C-AE6C3BF239E9}">
          <x14:formula1>
            <xm:f>Mapping!$F$3:$F$7</xm:f>
          </x14:formula1>
          <xm:sqref>D2:D456</xm:sqref>
        </x14:dataValidation>
        <x14:dataValidation type="list" allowBlank="1" showInputMessage="1" showErrorMessage="1" xr:uid="{7AF0C727-2661-4E9A-95A2-761E6B1AFD0D}">
          <x14:formula1>
            <xm:f>Mapping!$D$3:$D$8</xm:f>
          </x14:formula1>
          <xm:sqref>B2:B456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0678-AC74-4EE8-BF5C-2CC6C8D0647A}">
  <dimension ref="A2:Y136"/>
  <sheetViews>
    <sheetView topLeftCell="A103" zoomScale="80" zoomScaleNormal="80" workbookViewId="0">
      <selection activeCell="C131" sqref="C131"/>
    </sheetView>
  </sheetViews>
  <sheetFormatPr defaultRowHeight="15" x14ac:dyDescent="0.25"/>
  <cols>
    <col min="1" max="1" width="15.5703125" bestFit="1" customWidth="1"/>
    <col min="2" max="2" width="16.7109375" bestFit="1" customWidth="1"/>
    <col min="3" max="3" width="15.85546875" bestFit="1" customWidth="1"/>
    <col min="4" max="4" width="8.5703125" bestFit="1" customWidth="1"/>
    <col min="5" max="83" width="11.5703125" bestFit="1" customWidth="1"/>
    <col min="84" max="147" width="16.7109375" bestFit="1" customWidth="1"/>
    <col min="148" max="148" width="11.5703125" bestFit="1" customWidth="1"/>
  </cols>
  <sheetData>
    <row r="2" spans="1:16" x14ac:dyDescent="0.25">
      <c r="A2" s="3" t="s">
        <v>12</v>
      </c>
      <c r="B2" s="5" t="s">
        <v>79</v>
      </c>
      <c r="C2" s="5" t="s">
        <v>77</v>
      </c>
      <c r="K2" s="3" t="s">
        <v>83</v>
      </c>
      <c r="L2" s="3" t="s">
        <v>10</v>
      </c>
    </row>
    <row r="3" spans="1:16" x14ac:dyDescent="0.25">
      <c r="A3" s="4" t="s">
        <v>65</v>
      </c>
      <c r="B3" s="5">
        <v>420328</v>
      </c>
      <c r="C3" s="5">
        <v>396657.83</v>
      </c>
      <c r="K3" s="3" t="s">
        <v>12</v>
      </c>
      <c r="L3" t="s">
        <v>70</v>
      </c>
      <c r="M3" t="s">
        <v>9</v>
      </c>
      <c r="N3" t="s">
        <v>69</v>
      </c>
      <c r="O3" t="s">
        <v>68</v>
      </c>
      <c r="P3" t="s">
        <v>11</v>
      </c>
    </row>
    <row r="4" spans="1:16" x14ac:dyDescent="0.25">
      <c r="A4" s="4" t="s">
        <v>64</v>
      </c>
      <c r="B4" s="5">
        <v>444226</v>
      </c>
      <c r="C4" s="5">
        <v>421238.17</v>
      </c>
      <c r="K4" s="4" t="s">
        <v>65</v>
      </c>
      <c r="L4" s="5">
        <v>5000</v>
      </c>
      <c r="M4" s="5"/>
      <c r="N4" s="5">
        <v>134500</v>
      </c>
      <c r="O4" s="5">
        <v>280828</v>
      </c>
      <c r="P4" s="5">
        <v>420328</v>
      </c>
    </row>
    <row r="5" spans="1:16" x14ac:dyDescent="0.25">
      <c r="A5" s="4" t="s">
        <v>129</v>
      </c>
      <c r="B5" s="5">
        <v>431283</v>
      </c>
      <c r="C5" s="5">
        <v>420420.11</v>
      </c>
      <c r="K5" s="4" t="s">
        <v>64</v>
      </c>
      <c r="L5" s="5"/>
      <c r="M5" s="5"/>
      <c r="N5" s="5">
        <v>125000</v>
      </c>
      <c r="O5" s="5">
        <v>319226</v>
      </c>
      <c r="P5" s="5">
        <v>444226</v>
      </c>
    </row>
    <row r="6" spans="1:16" x14ac:dyDescent="0.25">
      <c r="A6" s="4" t="s">
        <v>193</v>
      </c>
      <c r="B6" s="5">
        <v>450800</v>
      </c>
      <c r="C6" s="5">
        <v>452387.77999999997</v>
      </c>
      <c r="K6" s="4" t="s">
        <v>129</v>
      </c>
      <c r="L6" s="5"/>
      <c r="M6" s="5"/>
      <c r="N6" s="5">
        <v>120000</v>
      </c>
      <c r="O6" s="5">
        <v>311283</v>
      </c>
      <c r="P6" s="5">
        <v>431283</v>
      </c>
    </row>
    <row r="7" spans="1:16" x14ac:dyDescent="0.25">
      <c r="A7" s="4" t="s">
        <v>223</v>
      </c>
      <c r="B7" s="5">
        <v>381000</v>
      </c>
      <c r="C7" s="5">
        <v>397523.5</v>
      </c>
      <c r="K7" s="4" t="s">
        <v>193</v>
      </c>
      <c r="L7" s="5"/>
      <c r="M7" s="5"/>
      <c r="N7" s="5">
        <v>127800</v>
      </c>
      <c r="O7" s="5">
        <v>323000</v>
      </c>
      <c r="P7" s="5">
        <v>450800</v>
      </c>
    </row>
    <row r="8" spans="1:16" x14ac:dyDescent="0.25">
      <c r="A8" s="4" t="s">
        <v>268</v>
      </c>
      <c r="B8" s="5">
        <v>208000</v>
      </c>
      <c r="C8" s="5">
        <v>197729.41</v>
      </c>
      <c r="K8" s="4" t="s">
        <v>223</v>
      </c>
      <c r="L8" s="5"/>
      <c r="M8" s="5">
        <v>23000</v>
      </c>
      <c r="N8" s="5">
        <v>125000</v>
      </c>
      <c r="O8" s="5">
        <v>233000</v>
      </c>
      <c r="P8" s="5">
        <v>381000</v>
      </c>
    </row>
    <row r="9" spans="1:16" x14ac:dyDescent="0.25">
      <c r="A9" s="4" t="s">
        <v>11</v>
      </c>
      <c r="B9" s="5">
        <v>2335637</v>
      </c>
      <c r="C9" s="5">
        <v>2285956.7999999993</v>
      </c>
      <c r="K9" s="4" t="s">
        <v>268</v>
      </c>
      <c r="L9" s="5"/>
      <c r="M9" s="5"/>
      <c r="N9" s="5">
        <v>60000</v>
      </c>
      <c r="O9" s="5">
        <v>148000</v>
      </c>
      <c r="P9" s="5">
        <v>208000</v>
      </c>
    </row>
    <row r="10" spans="1:16" x14ac:dyDescent="0.25">
      <c r="K10" s="4" t="s">
        <v>11</v>
      </c>
      <c r="L10" s="5">
        <v>5000</v>
      </c>
      <c r="M10" s="5">
        <v>23000</v>
      </c>
      <c r="N10" s="5">
        <v>692300</v>
      </c>
      <c r="O10" s="5">
        <v>1615337</v>
      </c>
      <c r="P10" s="5">
        <v>2335637</v>
      </c>
    </row>
    <row r="16" spans="1:16" x14ac:dyDescent="0.25">
      <c r="A16" s="3" t="s">
        <v>12</v>
      </c>
      <c r="B16" s="5" t="s">
        <v>79</v>
      </c>
      <c r="D16" s="3" t="s">
        <v>12</v>
      </c>
      <c r="E16" t="s">
        <v>79</v>
      </c>
    </row>
    <row r="17" spans="1:8" x14ac:dyDescent="0.25">
      <c r="A17" s="4" t="s">
        <v>70</v>
      </c>
      <c r="B17" s="5">
        <v>5000</v>
      </c>
      <c r="D17" s="4" t="s">
        <v>136</v>
      </c>
      <c r="E17" s="5">
        <v>692300</v>
      </c>
    </row>
    <row r="18" spans="1:8" x14ac:dyDescent="0.25">
      <c r="A18" s="4" t="s">
        <v>9</v>
      </c>
      <c r="B18" s="5">
        <v>23000</v>
      </c>
      <c r="D18" s="4" t="s">
        <v>13</v>
      </c>
      <c r="E18" s="5">
        <v>1178000</v>
      </c>
    </row>
    <row r="19" spans="1:8" x14ac:dyDescent="0.25">
      <c r="A19" s="4" t="s">
        <v>69</v>
      </c>
      <c r="B19" s="5">
        <v>692300</v>
      </c>
      <c r="D19" s="4" t="s">
        <v>14</v>
      </c>
      <c r="E19" s="5">
        <v>442337</v>
      </c>
    </row>
    <row r="20" spans="1:8" x14ac:dyDescent="0.25">
      <c r="A20" s="4" t="s">
        <v>68</v>
      </c>
      <c r="B20" s="5">
        <v>1615337</v>
      </c>
      <c r="D20" s="4" t="s">
        <v>9</v>
      </c>
      <c r="E20" s="5">
        <v>23000</v>
      </c>
    </row>
    <row r="21" spans="1:8" x14ac:dyDescent="0.25">
      <c r="A21" s="4" t="s">
        <v>11</v>
      </c>
      <c r="B21" s="5">
        <v>2335637</v>
      </c>
      <c r="D21" s="4" t="s">
        <v>11</v>
      </c>
      <c r="E21" s="5">
        <v>2335637</v>
      </c>
    </row>
    <row r="26" spans="1:8" x14ac:dyDescent="0.25">
      <c r="A26" s="3" t="s">
        <v>83</v>
      </c>
      <c r="B26" s="3" t="s">
        <v>10</v>
      </c>
    </row>
    <row r="27" spans="1:8" x14ac:dyDescent="0.25">
      <c r="B27" t="s">
        <v>65</v>
      </c>
      <c r="C27" t="s">
        <v>64</v>
      </c>
      <c r="D27" t="s">
        <v>129</v>
      </c>
      <c r="E27" t="s">
        <v>193</v>
      </c>
      <c r="F27" t="s">
        <v>223</v>
      </c>
      <c r="G27" t="s">
        <v>268</v>
      </c>
      <c r="H27" t="s">
        <v>11</v>
      </c>
    </row>
    <row r="28" spans="1:8" x14ac:dyDescent="0.25">
      <c r="A28" s="3" t="s">
        <v>12</v>
      </c>
    </row>
    <row r="29" spans="1:8" x14ac:dyDescent="0.25">
      <c r="A29" s="4" t="s">
        <v>70</v>
      </c>
      <c r="B29" s="5">
        <v>5000</v>
      </c>
      <c r="C29" s="5"/>
      <c r="D29" s="5"/>
      <c r="E29" s="5"/>
      <c r="F29" s="5"/>
      <c r="G29" s="5"/>
      <c r="H29" s="5">
        <v>5000</v>
      </c>
    </row>
    <row r="30" spans="1:8" x14ac:dyDescent="0.25">
      <c r="A30" s="4" t="s">
        <v>9</v>
      </c>
      <c r="B30" s="5"/>
      <c r="C30" s="5"/>
      <c r="D30" s="5"/>
      <c r="E30" s="5"/>
      <c r="F30" s="5">
        <v>23000</v>
      </c>
      <c r="G30" s="5"/>
      <c r="H30" s="5">
        <v>23000</v>
      </c>
    </row>
    <row r="31" spans="1:8" x14ac:dyDescent="0.25">
      <c r="A31" s="4" t="s">
        <v>69</v>
      </c>
      <c r="B31" s="5">
        <v>134500</v>
      </c>
      <c r="C31" s="5">
        <v>125000</v>
      </c>
      <c r="D31" s="5">
        <v>120000</v>
      </c>
      <c r="E31" s="5">
        <v>127800</v>
      </c>
      <c r="F31" s="5">
        <v>125000</v>
      </c>
      <c r="G31" s="5">
        <v>60000</v>
      </c>
      <c r="H31" s="5">
        <v>692300</v>
      </c>
    </row>
    <row r="32" spans="1:8" x14ac:dyDescent="0.25">
      <c r="A32" s="4" t="s">
        <v>68</v>
      </c>
      <c r="B32" s="5">
        <v>280828</v>
      </c>
      <c r="C32" s="5">
        <v>319226</v>
      </c>
      <c r="D32" s="5">
        <v>311283</v>
      </c>
      <c r="E32" s="5">
        <v>323000</v>
      </c>
      <c r="F32" s="5">
        <v>233000</v>
      </c>
      <c r="G32" s="5">
        <v>148000</v>
      </c>
      <c r="H32" s="5">
        <v>1615337</v>
      </c>
    </row>
    <row r="33" spans="1:11" x14ac:dyDescent="0.25">
      <c r="A33" s="4" t="s">
        <v>11</v>
      </c>
      <c r="B33" s="5">
        <v>420328</v>
      </c>
      <c r="C33" s="5">
        <v>444226</v>
      </c>
      <c r="D33" s="5">
        <v>431283</v>
      </c>
      <c r="E33" s="5">
        <v>450800</v>
      </c>
      <c r="F33" s="5">
        <v>381000</v>
      </c>
      <c r="G33" s="5">
        <v>208000</v>
      </c>
      <c r="H33" s="5">
        <v>2335637</v>
      </c>
    </row>
    <row r="41" spans="1:11" x14ac:dyDescent="0.25">
      <c r="A41" s="3" t="s">
        <v>12</v>
      </c>
      <c r="B41" t="s">
        <v>78</v>
      </c>
      <c r="D41" s="3" t="s">
        <v>78</v>
      </c>
      <c r="E41" s="11" t="s">
        <v>10</v>
      </c>
      <c r="F41" s="5"/>
      <c r="G41" s="5"/>
      <c r="H41" s="5"/>
      <c r="I41" s="5"/>
      <c r="J41" s="5"/>
      <c r="K41" s="5"/>
    </row>
    <row r="42" spans="1:11" x14ac:dyDescent="0.25">
      <c r="A42" s="4" t="s">
        <v>1</v>
      </c>
      <c r="B42" s="5">
        <v>3477.88</v>
      </c>
      <c r="E42" s="5" t="s">
        <v>65</v>
      </c>
      <c r="F42" s="5" t="s">
        <v>64</v>
      </c>
      <c r="G42" s="5" t="s">
        <v>129</v>
      </c>
      <c r="H42" s="5" t="s">
        <v>193</v>
      </c>
      <c r="I42" s="5" t="s">
        <v>223</v>
      </c>
      <c r="J42" s="5" t="s">
        <v>268</v>
      </c>
      <c r="K42" s="5" t="s">
        <v>11</v>
      </c>
    </row>
    <row r="43" spans="1:11" x14ac:dyDescent="0.25">
      <c r="A43" s="4" t="s">
        <v>23</v>
      </c>
      <c r="B43" s="5">
        <v>12085</v>
      </c>
      <c r="D43" s="3" t="s">
        <v>12</v>
      </c>
      <c r="K43" s="5"/>
    </row>
    <row r="44" spans="1:11" x14ac:dyDescent="0.25">
      <c r="A44" s="4" t="s">
        <v>21</v>
      </c>
      <c r="B44" s="5">
        <v>159058</v>
      </c>
      <c r="D44" s="4" t="s">
        <v>5</v>
      </c>
      <c r="E44" s="5">
        <v>7935.3799999999992</v>
      </c>
      <c r="F44" s="5">
        <v>6459.17</v>
      </c>
      <c r="G44" s="5">
        <v>7723.1900000000005</v>
      </c>
      <c r="H44" s="5">
        <v>6868.23</v>
      </c>
      <c r="I44" s="5">
        <v>7195.73</v>
      </c>
      <c r="J44" s="5">
        <v>6882.8099999999995</v>
      </c>
      <c r="K44" s="5">
        <v>43064.51</v>
      </c>
    </row>
    <row r="45" spans="1:11" x14ac:dyDescent="0.25">
      <c r="A45" s="4" t="s">
        <v>97</v>
      </c>
      <c r="B45" s="5">
        <v>8740</v>
      </c>
      <c r="D45" s="4" t="s">
        <v>112</v>
      </c>
      <c r="E45" s="5">
        <v>161770</v>
      </c>
      <c r="F45" s="5">
        <v>71270</v>
      </c>
      <c r="G45" s="5">
        <v>157270</v>
      </c>
      <c r="H45" s="5">
        <v>30000</v>
      </c>
      <c r="I45" s="5">
        <v>138744</v>
      </c>
      <c r="J45" s="5">
        <v>97000</v>
      </c>
      <c r="K45" s="5">
        <v>656054</v>
      </c>
    </row>
    <row r="46" spans="1:11" x14ac:dyDescent="0.25">
      <c r="A46" s="4" t="s">
        <v>84</v>
      </c>
      <c r="B46" s="5">
        <v>22690.720000000001</v>
      </c>
      <c r="D46" s="4" t="s">
        <v>24</v>
      </c>
      <c r="E46" s="5">
        <v>3100</v>
      </c>
      <c r="F46" s="5">
        <v>10058</v>
      </c>
      <c r="G46" s="5">
        <v>37313</v>
      </c>
      <c r="H46" s="5">
        <v>2450</v>
      </c>
      <c r="I46" s="5">
        <v>11080</v>
      </c>
      <c r="J46" s="5"/>
      <c r="K46" s="5">
        <v>64001</v>
      </c>
    </row>
    <row r="47" spans="1:11" x14ac:dyDescent="0.25">
      <c r="A47" s="4" t="s">
        <v>48</v>
      </c>
      <c r="B47" s="5">
        <v>56563</v>
      </c>
      <c r="D47" s="4" t="s">
        <v>25</v>
      </c>
      <c r="E47" s="5">
        <v>30200</v>
      </c>
      <c r="F47" s="5">
        <v>25705</v>
      </c>
      <c r="G47" s="5">
        <v>30020</v>
      </c>
      <c r="H47" s="5">
        <v>13525</v>
      </c>
      <c r="I47" s="5">
        <v>31012</v>
      </c>
      <c r="J47" s="5">
        <v>18785</v>
      </c>
      <c r="K47" s="5">
        <v>149247</v>
      </c>
    </row>
    <row r="48" spans="1:11" x14ac:dyDescent="0.25">
      <c r="A48" s="4" t="s">
        <v>22</v>
      </c>
      <c r="B48" s="5">
        <v>10000</v>
      </c>
      <c r="D48" s="4" t="s">
        <v>21</v>
      </c>
      <c r="E48" s="5">
        <v>26058</v>
      </c>
      <c r="F48" s="5">
        <v>54000</v>
      </c>
      <c r="G48" s="5">
        <v>18000</v>
      </c>
      <c r="H48" s="5">
        <v>50000</v>
      </c>
      <c r="I48" s="5">
        <v>6000</v>
      </c>
      <c r="J48" s="5">
        <v>5000</v>
      </c>
      <c r="K48" s="5">
        <v>159058</v>
      </c>
    </row>
    <row r="49" spans="1:11" x14ac:dyDescent="0.25">
      <c r="A49" s="4" t="s">
        <v>43</v>
      </c>
      <c r="B49" s="5">
        <v>9674</v>
      </c>
      <c r="D49" s="4" t="s">
        <v>23</v>
      </c>
      <c r="E49" s="5">
        <v>2600</v>
      </c>
      <c r="F49" s="5">
        <v>6940</v>
      </c>
      <c r="G49" s="5">
        <v>420</v>
      </c>
      <c r="H49" s="5">
        <v>350</v>
      </c>
      <c r="I49" s="5">
        <v>1775</v>
      </c>
      <c r="J49" s="5"/>
      <c r="K49" s="5">
        <v>12085</v>
      </c>
    </row>
    <row r="50" spans="1:11" x14ac:dyDescent="0.25">
      <c r="A50" s="4" t="s">
        <v>111</v>
      </c>
      <c r="B50" s="5">
        <v>316134</v>
      </c>
      <c r="D50" s="4" t="s">
        <v>48</v>
      </c>
      <c r="E50" s="5">
        <v>3500</v>
      </c>
      <c r="F50" s="5"/>
      <c r="G50" s="5"/>
      <c r="H50" s="5">
        <v>18179</v>
      </c>
      <c r="I50" s="5">
        <v>32284</v>
      </c>
      <c r="J50" s="5">
        <v>2600</v>
      </c>
      <c r="K50" s="5">
        <v>56563</v>
      </c>
    </row>
    <row r="51" spans="1:11" x14ac:dyDescent="0.25">
      <c r="A51" s="4" t="s">
        <v>113</v>
      </c>
      <c r="B51" s="5">
        <v>90769.47</v>
      </c>
      <c r="D51" s="4" t="s">
        <v>111</v>
      </c>
      <c r="E51" s="5">
        <v>64121</v>
      </c>
      <c r="F51" s="5">
        <v>37450</v>
      </c>
      <c r="G51" s="5">
        <v>61017.22</v>
      </c>
      <c r="H51" s="5">
        <v>54291</v>
      </c>
      <c r="I51" s="5">
        <v>64501.18</v>
      </c>
      <c r="J51" s="5">
        <v>34753.599999999999</v>
      </c>
      <c r="K51" s="5">
        <v>316134</v>
      </c>
    </row>
    <row r="52" spans="1:11" x14ac:dyDescent="0.25">
      <c r="A52" s="4" t="s">
        <v>5</v>
      </c>
      <c r="B52" s="5">
        <v>43064.51</v>
      </c>
      <c r="D52" s="4" t="s">
        <v>113</v>
      </c>
      <c r="E52" s="5">
        <v>26769.47</v>
      </c>
      <c r="F52" s="5">
        <v>10500</v>
      </c>
      <c r="G52" s="5">
        <v>10500</v>
      </c>
      <c r="H52" s="5">
        <v>10500</v>
      </c>
      <c r="I52" s="5">
        <v>10500</v>
      </c>
      <c r="J52" s="5">
        <v>22000</v>
      </c>
      <c r="K52" s="5">
        <v>90769.47</v>
      </c>
    </row>
    <row r="53" spans="1:11" x14ac:dyDescent="0.25">
      <c r="A53" s="4" t="s">
        <v>114</v>
      </c>
      <c r="B53" s="5">
        <v>41372</v>
      </c>
      <c r="D53" s="4" t="s">
        <v>20</v>
      </c>
      <c r="E53" s="5">
        <v>8500</v>
      </c>
      <c r="F53" s="5">
        <v>6380</v>
      </c>
      <c r="G53" s="5">
        <v>6550</v>
      </c>
      <c r="H53" s="5">
        <v>9210</v>
      </c>
      <c r="I53" s="5">
        <v>10925</v>
      </c>
      <c r="J53" s="5">
        <v>3908</v>
      </c>
      <c r="K53" s="5">
        <v>45473</v>
      </c>
    </row>
    <row r="54" spans="1:11" x14ac:dyDescent="0.25">
      <c r="A54" s="4" t="s">
        <v>112</v>
      </c>
      <c r="B54" s="5">
        <v>656054</v>
      </c>
      <c r="D54" s="4" t="s">
        <v>26</v>
      </c>
      <c r="E54" s="5">
        <v>20250</v>
      </c>
      <c r="F54" s="5">
        <v>16000</v>
      </c>
      <c r="G54" s="5">
        <v>15600</v>
      </c>
      <c r="H54" s="5">
        <v>18600</v>
      </c>
      <c r="I54" s="5">
        <v>16000</v>
      </c>
      <c r="J54" s="5">
        <v>6800</v>
      </c>
      <c r="K54" s="5">
        <v>93250</v>
      </c>
    </row>
    <row r="55" spans="1:11" x14ac:dyDescent="0.25">
      <c r="A55" s="4" t="s">
        <v>20</v>
      </c>
      <c r="B55" s="5">
        <v>45473</v>
      </c>
      <c r="D55" s="4" t="s">
        <v>49</v>
      </c>
      <c r="E55" s="5"/>
      <c r="F55" s="5">
        <v>131200</v>
      </c>
      <c r="G55" s="5">
        <v>40300</v>
      </c>
      <c r="H55" s="5">
        <v>97250</v>
      </c>
      <c r="I55" s="5">
        <v>42800</v>
      </c>
      <c r="J55" s="5"/>
      <c r="K55" s="5">
        <v>311550</v>
      </c>
    </row>
    <row r="56" spans="1:11" x14ac:dyDescent="0.25">
      <c r="A56" s="4" t="s">
        <v>18</v>
      </c>
      <c r="B56" s="5">
        <v>7500</v>
      </c>
      <c r="D56" s="4" t="s">
        <v>1</v>
      </c>
      <c r="E56" s="5"/>
      <c r="F56" s="5"/>
      <c r="G56" s="5">
        <v>3007.88</v>
      </c>
      <c r="H56" s="5"/>
      <c r="I56" s="5">
        <v>470</v>
      </c>
      <c r="J56" s="5"/>
      <c r="K56" s="5">
        <v>3477.88</v>
      </c>
    </row>
    <row r="57" spans="1:11" x14ac:dyDescent="0.25">
      <c r="A57" s="4" t="s">
        <v>168</v>
      </c>
      <c r="B57" s="5">
        <v>4768</v>
      </c>
      <c r="D57" s="4" t="s">
        <v>97</v>
      </c>
      <c r="E57" s="5"/>
      <c r="F57" s="5">
        <v>1000</v>
      </c>
      <c r="G57" s="5">
        <v>4650</v>
      </c>
      <c r="H57" s="5">
        <v>3090</v>
      </c>
      <c r="I57" s="5"/>
      <c r="J57" s="5"/>
      <c r="K57" s="5">
        <v>8740</v>
      </c>
    </row>
    <row r="58" spans="1:11" x14ac:dyDescent="0.25">
      <c r="A58" s="4" t="s">
        <v>17</v>
      </c>
      <c r="B58" s="5">
        <v>91885</v>
      </c>
      <c r="D58" s="4" t="s">
        <v>84</v>
      </c>
      <c r="E58" s="5">
        <v>5010</v>
      </c>
      <c r="F58" s="5">
        <v>4626</v>
      </c>
      <c r="G58" s="5">
        <v>4963.34</v>
      </c>
      <c r="H58" s="5">
        <v>4307.38</v>
      </c>
      <c r="I58" s="5">
        <v>3784</v>
      </c>
      <c r="J58" s="5"/>
      <c r="K58" s="5">
        <v>22690.720000000001</v>
      </c>
    </row>
    <row r="59" spans="1:11" x14ac:dyDescent="0.25">
      <c r="A59" s="4" t="s">
        <v>26</v>
      </c>
      <c r="B59" s="5">
        <v>93250</v>
      </c>
      <c r="D59" s="4" t="s">
        <v>22</v>
      </c>
      <c r="E59" s="5"/>
      <c r="F59" s="5"/>
      <c r="G59" s="5">
        <v>10000</v>
      </c>
      <c r="H59" s="5"/>
      <c r="I59" s="5"/>
      <c r="J59" s="5"/>
      <c r="K59" s="5">
        <v>10000</v>
      </c>
    </row>
    <row r="60" spans="1:11" x14ac:dyDescent="0.25">
      <c r="A60" s="4" t="s">
        <v>24</v>
      </c>
      <c r="B60" s="5">
        <v>64001</v>
      </c>
      <c r="D60" s="4" t="s">
        <v>43</v>
      </c>
      <c r="E60" s="5">
        <v>3700</v>
      </c>
      <c r="F60" s="5"/>
      <c r="G60" s="5">
        <v>1389</v>
      </c>
      <c r="H60" s="5">
        <v>3890</v>
      </c>
      <c r="I60" s="5">
        <v>695</v>
      </c>
      <c r="J60" s="5"/>
      <c r="K60" s="5">
        <v>9674</v>
      </c>
    </row>
    <row r="61" spans="1:11" x14ac:dyDescent="0.25">
      <c r="A61" s="4" t="s">
        <v>25</v>
      </c>
      <c r="B61" s="5">
        <v>149247</v>
      </c>
      <c r="D61" s="4" t="s">
        <v>114</v>
      </c>
      <c r="E61" s="5">
        <v>28172</v>
      </c>
      <c r="F61" s="5"/>
      <c r="G61" s="5">
        <v>4500</v>
      </c>
      <c r="H61" s="5">
        <v>8700</v>
      </c>
      <c r="I61" s="5"/>
      <c r="J61" s="5"/>
      <c r="K61" s="5">
        <v>41372</v>
      </c>
    </row>
    <row r="62" spans="1:11" x14ac:dyDescent="0.25">
      <c r="A62" s="4" t="s">
        <v>115</v>
      </c>
      <c r="B62" s="5">
        <v>70200</v>
      </c>
      <c r="D62" s="4" t="s">
        <v>18</v>
      </c>
      <c r="E62" s="5">
        <v>1000</v>
      </c>
      <c r="F62" s="5">
        <v>6500</v>
      </c>
      <c r="G62" s="5"/>
      <c r="H62" s="5"/>
      <c r="I62" s="5"/>
      <c r="J62" s="5"/>
      <c r="K62" s="5">
        <v>7500</v>
      </c>
    </row>
    <row r="63" spans="1:11" x14ac:dyDescent="0.25">
      <c r="A63" s="4" t="s">
        <v>49</v>
      </c>
      <c r="B63" s="5">
        <v>311550</v>
      </c>
      <c r="D63" s="4" t="s">
        <v>168</v>
      </c>
      <c r="E63" s="5"/>
      <c r="F63" s="5">
        <v>1450</v>
      </c>
      <c r="G63" s="5">
        <v>3318</v>
      </c>
      <c r="H63" s="5"/>
      <c r="I63" s="5"/>
      <c r="J63" s="5"/>
      <c r="K63" s="5">
        <v>4768</v>
      </c>
    </row>
    <row r="64" spans="1:11" x14ac:dyDescent="0.25">
      <c r="A64" s="4" t="s">
        <v>87</v>
      </c>
      <c r="B64" s="5">
        <v>18400.22</v>
      </c>
      <c r="D64" s="4" t="s">
        <v>17</v>
      </c>
      <c r="E64" s="5"/>
      <c r="F64" s="5"/>
      <c r="G64" s="5"/>
      <c r="H64" s="5">
        <v>91885</v>
      </c>
      <c r="I64" s="5"/>
      <c r="J64" s="5"/>
      <c r="K64" s="5">
        <v>91885</v>
      </c>
    </row>
    <row r="65" spans="1:11" x14ac:dyDescent="0.25">
      <c r="A65" s="4" t="s">
        <v>11</v>
      </c>
      <c r="B65" s="5">
        <v>2285956.7999999993</v>
      </c>
      <c r="D65" s="4" t="s">
        <v>115</v>
      </c>
      <c r="E65" s="5"/>
      <c r="F65" s="5">
        <v>27700</v>
      </c>
      <c r="G65" s="5"/>
      <c r="H65" s="5">
        <v>26500</v>
      </c>
      <c r="I65" s="5">
        <v>16000</v>
      </c>
      <c r="J65" s="5"/>
      <c r="K65" s="5">
        <v>70200</v>
      </c>
    </row>
    <row r="66" spans="1:11" x14ac:dyDescent="0.25">
      <c r="D66" s="4" t="s">
        <v>87</v>
      </c>
      <c r="E66" s="5">
        <v>3971.98</v>
      </c>
      <c r="F66" s="5">
        <v>4000</v>
      </c>
      <c r="G66" s="5">
        <v>3878.48</v>
      </c>
      <c r="H66" s="5">
        <v>2792.17</v>
      </c>
      <c r="I66" s="5">
        <v>3757.59</v>
      </c>
      <c r="J66" s="5"/>
      <c r="K66" s="5">
        <v>18400.22</v>
      </c>
    </row>
    <row r="67" spans="1:11" x14ac:dyDescent="0.25">
      <c r="D67" s="4" t="s">
        <v>11</v>
      </c>
      <c r="E67" s="5">
        <v>396657.83</v>
      </c>
      <c r="F67" s="5">
        <v>421238.17</v>
      </c>
      <c r="G67" s="5">
        <v>420420.11</v>
      </c>
      <c r="H67" s="5">
        <v>452387.77999999997</v>
      </c>
      <c r="I67" s="5">
        <v>397523.5</v>
      </c>
      <c r="J67" s="5">
        <v>197729.41</v>
      </c>
      <c r="K67" s="5">
        <v>2285956.7999999993</v>
      </c>
    </row>
    <row r="68" spans="1:11" x14ac:dyDescent="0.25">
      <c r="D68" s="4"/>
      <c r="E68" s="5"/>
      <c r="F68" s="5"/>
      <c r="G68" s="5"/>
      <c r="H68" s="5"/>
    </row>
    <row r="69" spans="1:11" x14ac:dyDescent="0.25">
      <c r="D69" s="4"/>
      <c r="E69" s="5"/>
      <c r="F69" s="5"/>
      <c r="G69" s="5"/>
      <c r="H69" s="5"/>
    </row>
    <row r="70" spans="1:11" x14ac:dyDescent="0.25">
      <c r="A70" t="str">
        <f>+A42</f>
        <v>Beauty/salon</v>
      </c>
      <c r="B70" s="13">
        <f>+GETPIVOTDATA("[Measures].[Sum of Expense]",$A$41,"[Table1].[Expense Category]","[Table1].[Expense Category].&amp;[Books/Stationary]")+GETPIVOTDATA("[Measures].[Sum of Expense]",$A$41,"[Table1].[Expense Category]","[Table1].[Expense Category].&amp;[Books/Stationary]")</f>
        <v>24170</v>
      </c>
      <c r="D70" t="s">
        <v>116</v>
      </c>
      <c r="E70" s="14">
        <f>+B80</f>
        <v>656054</v>
      </c>
    </row>
    <row r="71" spans="1:11" x14ac:dyDescent="0.25">
      <c r="A71" t="str">
        <f t="shared" ref="A71:A87" si="0">+A43</f>
        <v>Books/Stationary</v>
      </c>
      <c r="B71" s="13">
        <f>+GETPIVOTDATA("[Measures].[Sum of Expense]",$A$41,"[Table1].[Expense Category]","[Table1].[Expense Category].&amp;[Class Fees]")</f>
        <v>159058</v>
      </c>
      <c r="D71" t="s">
        <v>49</v>
      </c>
      <c r="E71" s="14">
        <f>+B86</f>
        <v>311550</v>
      </c>
    </row>
    <row r="72" spans="1:11" x14ac:dyDescent="0.25">
      <c r="A72" t="str">
        <f t="shared" si="0"/>
        <v>Class Fees</v>
      </c>
      <c r="B72" s="13">
        <f>+GETPIVOTDATA("[Measures].[Sum of Expense]",$A$41,"[Table1].[Expense Category]","[Table1].[Expense Category].&amp;[⁠Clothings]")</f>
        <v>8740</v>
      </c>
      <c r="D72" t="s">
        <v>117</v>
      </c>
      <c r="E72" s="14">
        <f>+B74+B76+B81+B75</f>
        <v>427844</v>
      </c>
    </row>
    <row r="73" spans="1:11" x14ac:dyDescent="0.25">
      <c r="A73" t="str">
        <f t="shared" si="0"/>
        <v>⁠Clothings</v>
      </c>
      <c r="B73" s="13">
        <f>+GETPIVOTDATA("[Measures].[Sum of Expense]",$A$41,"[Table1].[Expense Category]","[Table1].[Expense Category].&amp;[Electricity]")</f>
        <v>22690.720000000001</v>
      </c>
      <c r="D73" t="s">
        <v>118</v>
      </c>
      <c r="E73" s="14">
        <f>+B85</f>
        <v>149247</v>
      </c>
    </row>
    <row r="74" spans="1:11" x14ac:dyDescent="0.25">
      <c r="A74" t="str">
        <f t="shared" si="0"/>
        <v>Electricity</v>
      </c>
      <c r="B74" s="13">
        <f>+GETPIVOTDATA("[Measures].[Sum of Expense]",$A$41,"[Table1].[Expense Category]","[Table1].[Expense Category].&amp;[Entertainment]")</f>
        <v>56563</v>
      </c>
      <c r="D74" t="s">
        <v>119</v>
      </c>
      <c r="E74" s="14">
        <f>+B73+B75+B78+B87</f>
        <v>93829.450000000012</v>
      </c>
    </row>
    <row r="75" spans="1:11" x14ac:dyDescent="0.25">
      <c r="A75" t="str">
        <f t="shared" si="0"/>
        <v>Entertainment</v>
      </c>
      <c r="B75" s="13">
        <f>+GETPIVOTDATA("[Measures].[Sum of Expense]",$A$41,"[Table1].[Expense Category]","[Table1].[Expense Category].&amp;[Gas]")</f>
        <v>9674</v>
      </c>
      <c r="D75" t="s">
        <v>135</v>
      </c>
      <c r="E75" s="14">
        <f>B71</f>
        <v>159058</v>
      </c>
    </row>
    <row r="76" spans="1:11" x14ac:dyDescent="0.25">
      <c r="A76" t="str">
        <f t="shared" si="0"/>
        <v>Exam Fees</v>
      </c>
      <c r="B76" s="13">
        <f>+GETPIVOTDATA("[Measures].[Sum of Expense]",$A$41,"[Table1].[Expense Category]","[Table1].[Expense Category].&amp;[Groceries/Snacks]")</f>
        <v>316134</v>
      </c>
    </row>
    <row r="77" spans="1:11" x14ac:dyDescent="0.25">
      <c r="A77" t="str">
        <f t="shared" si="0"/>
        <v>Gas</v>
      </c>
      <c r="B77" s="13">
        <f>+GETPIVOTDATA("[Measures].[Sum of Expense]",$A$41,"[Table1].[Expense Category]","[Table1].[Expense Category].&amp;[Interest]")</f>
        <v>90769.47</v>
      </c>
    </row>
    <row r="78" spans="1:11" x14ac:dyDescent="0.25">
      <c r="A78" t="str">
        <f t="shared" si="0"/>
        <v>Groceries/Snacks</v>
      </c>
      <c r="B78" s="13">
        <f>+GETPIVOTDATA("[Measures].[Sum of Expense]",$A$41,"[Table1].[Expense Category]","[Table1].[Expense Category].&amp;[Internet/Phones]")</f>
        <v>43064.51</v>
      </c>
    </row>
    <row r="79" spans="1:11" x14ac:dyDescent="0.25">
      <c r="A79" t="str">
        <f t="shared" si="0"/>
        <v>Interest</v>
      </c>
      <c r="B79" s="13">
        <f>+GETPIVOTDATA("[Measures].[Sum of Expense]",$A$41,"[Table1].[Expense Category]","[Table1].[Expense Category].&amp;[Licence/Insurance]")</f>
        <v>41372</v>
      </c>
    </row>
    <row r="80" spans="1:11" x14ac:dyDescent="0.25">
      <c r="A80" t="str">
        <f t="shared" si="0"/>
        <v>Internet/Phones</v>
      </c>
      <c r="B80" s="13">
        <f>+GETPIVOTDATA("[Measures].[Sum of Expense]",$A$41,"[Table1].[Expense Category]","[Table1].[Expense Category].&amp;[Loan/Lease]")</f>
        <v>656054</v>
      </c>
    </row>
    <row r="81" spans="1:2" x14ac:dyDescent="0.25">
      <c r="A81" t="str">
        <f t="shared" si="0"/>
        <v>Licence/Insurance</v>
      </c>
      <c r="B81" s="13">
        <f>+GETPIVOTDATA("[Measures].[Sum of Expense]",$A$41,"[Table1].[Expense Category]","[Table1].[Expense Category].&amp;[Lunch/Dinner]")</f>
        <v>45473</v>
      </c>
    </row>
    <row r="82" spans="1:2" x14ac:dyDescent="0.25">
      <c r="A82" t="str">
        <f t="shared" si="0"/>
        <v>Loan/Lease</v>
      </c>
      <c r="B82" s="13">
        <f>+GETPIVOTDATA("[Measures].[Sum of Expense]",$A$41,"[Table1].[Expense Category]","[Table1].[Expense Category].&amp;[Medical]")</f>
        <v>7500</v>
      </c>
    </row>
    <row r="83" spans="1:2" x14ac:dyDescent="0.25">
      <c r="A83" t="str">
        <f t="shared" si="0"/>
        <v>Lunch/Dinner</v>
      </c>
      <c r="B83" s="13">
        <f>+GETPIVOTDATA("[Measures].[Sum of Expense]",$A$41,"[Table1].[Expense Category]","[Table1].[Expense Category].&amp;[Servent]")</f>
        <v>93250</v>
      </c>
    </row>
    <row r="84" spans="1:2" x14ac:dyDescent="0.25">
      <c r="A84" t="str">
        <f t="shared" si="0"/>
        <v>Medical</v>
      </c>
      <c r="B84" s="13">
        <f>+GETPIVOTDATA("[Measures].[Sum of Expense]",$A$41,"[Table1].[Expense Category]","[Table1].[Expense Category].&amp;[Sundry]")</f>
        <v>64001</v>
      </c>
    </row>
    <row r="85" spans="1:2" x14ac:dyDescent="0.25">
      <c r="A85" t="str">
        <f t="shared" si="0"/>
        <v>Popi/Tabi🐕</v>
      </c>
      <c r="B85" s="13">
        <f>+GETPIVOTDATA("[Measures].[Sum of Expense]",$A$41,"[Table1].[Expense Category]","[Table1].[Expense Category].&amp;[Transport/Petrol]")</f>
        <v>149247</v>
      </c>
    </row>
    <row r="86" spans="1:2" x14ac:dyDescent="0.25">
      <c r="A86" t="str">
        <f t="shared" si="0"/>
        <v>School Fees</v>
      </c>
      <c r="B86" s="13">
        <f>+GETPIVOTDATA("[Measures].[Sum of Expense]",$A$41,"[Table1].[Expense Category]","[Table1].[Expense Category].&amp;[Vehicle Repair]")</f>
        <v>311550</v>
      </c>
    </row>
    <row r="87" spans="1:2" x14ac:dyDescent="0.25">
      <c r="A87" t="str">
        <f t="shared" si="0"/>
        <v>Servent</v>
      </c>
      <c r="B87" s="13">
        <f>+GETPIVOTDATA("[Measures].[Sum of Expense]",$A$41,"[Table1].[Expense Category]","[Table1].[Expense Category].&amp;[Water]")</f>
        <v>18400.22</v>
      </c>
    </row>
    <row r="95" spans="1:2" ht="14.25" customHeight="1" x14ac:dyDescent="0.25"/>
    <row r="100" spans="1:25" x14ac:dyDescent="0.25">
      <c r="A100" s="3" t="s">
        <v>78</v>
      </c>
      <c r="B100" s="3" t="s">
        <v>10</v>
      </c>
    </row>
    <row r="101" spans="1:25" x14ac:dyDescent="0.25">
      <c r="A101" s="3" t="s">
        <v>12</v>
      </c>
      <c r="B101" s="5" t="s">
        <v>20</v>
      </c>
      <c r="C101" s="5" t="s">
        <v>25</v>
      </c>
      <c r="D101" s="5" t="s">
        <v>84</v>
      </c>
      <c r="E101" s="5" t="s">
        <v>87</v>
      </c>
      <c r="F101" s="5" t="s">
        <v>43</v>
      </c>
      <c r="G101" s="5" t="s">
        <v>5</v>
      </c>
      <c r="H101" s="5" t="s">
        <v>23</v>
      </c>
      <c r="I101" s="5" t="s">
        <v>21</v>
      </c>
      <c r="J101" s="5" t="s">
        <v>18</v>
      </c>
      <c r="K101" s="5" t="s">
        <v>97</v>
      </c>
      <c r="L101" s="5" t="s">
        <v>48</v>
      </c>
      <c r="M101" s="5" t="s">
        <v>24</v>
      </c>
      <c r="N101" s="5" t="s">
        <v>26</v>
      </c>
      <c r="O101" s="5" t="s">
        <v>49</v>
      </c>
      <c r="P101" s="5" t="s">
        <v>111</v>
      </c>
      <c r="Q101" s="5" t="s">
        <v>113</v>
      </c>
      <c r="R101" s="5" t="s">
        <v>114</v>
      </c>
      <c r="S101" s="5" t="s">
        <v>112</v>
      </c>
      <c r="T101" s="5" t="s">
        <v>115</v>
      </c>
      <c r="U101" s="5" t="s">
        <v>1</v>
      </c>
      <c r="V101" s="5" t="s">
        <v>22</v>
      </c>
      <c r="W101" s="5" t="s">
        <v>168</v>
      </c>
      <c r="X101" s="5" t="s">
        <v>17</v>
      </c>
      <c r="Y101" s="5" t="s">
        <v>11</v>
      </c>
    </row>
    <row r="102" spans="1:25" x14ac:dyDescent="0.25">
      <c r="A102" s="4" t="s">
        <v>65</v>
      </c>
      <c r="B102" s="5">
        <v>8500</v>
      </c>
      <c r="C102" s="5">
        <v>30200</v>
      </c>
      <c r="D102" s="5">
        <v>5010</v>
      </c>
      <c r="E102" s="5">
        <v>3971.98</v>
      </c>
      <c r="F102" s="5">
        <v>3700</v>
      </c>
      <c r="G102" s="5">
        <v>7935.3799999999992</v>
      </c>
      <c r="H102" s="5">
        <v>2600</v>
      </c>
      <c r="I102" s="5">
        <v>26058</v>
      </c>
      <c r="J102" s="5">
        <v>1000</v>
      </c>
      <c r="K102" s="5"/>
      <c r="L102" s="5">
        <v>3500</v>
      </c>
      <c r="M102" s="5">
        <v>3100</v>
      </c>
      <c r="N102" s="5">
        <v>20250</v>
      </c>
      <c r="O102" s="5"/>
      <c r="P102" s="5">
        <v>64121</v>
      </c>
      <c r="Q102" s="5">
        <v>26769.47</v>
      </c>
      <c r="R102" s="5">
        <v>28172</v>
      </c>
      <c r="S102" s="5">
        <v>161770</v>
      </c>
      <c r="T102" s="5"/>
      <c r="U102" s="5"/>
      <c r="V102" s="5"/>
      <c r="W102" s="5"/>
      <c r="X102" s="5"/>
      <c r="Y102" s="5">
        <v>396657.83</v>
      </c>
    </row>
    <row r="103" spans="1:25" x14ac:dyDescent="0.25">
      <c r="A103" s="4" t="s">
        <v>64</v>
      </c>
      <c r="B103" s="5">
        <v>6380</v>
      </c>
      <c r="C103" s="5">
        <v>25705</v>
      </c>
      <c r="D103" s="5">
        <v>4626</v>
      </c>
      <c r="E103" s="5">
        <v>4000</v>
      </c>
      <c r="F103" s="5"/>
      <c r="G103" s="5">
        <v>6459.17</v>
      </c>
      <c r="H103" s="5">
        <v>6940</v>
      </c>
      <c r="I103" s="5">
        <v>54000</v>
      </c>
      <c r="J103" s="5">
        <v>6500</v>
      </c>
      <c r="K103" s="5">
        <v>1000</v>
      </c>
      <c r="L103" s="5"/>
      <c r="M103" s="5">
        <v>10058</v>
      </c>
      <c r="N103" s="5">
        <v>16000</v>
      </c>
      <c r="O103" s="5">
        <v>131200</v>
      </c>
      <c r="P103" s="5">
        <v>37450</v>
      </c>
      <c r="Q103" s="5">
        <v>10500</v>
      </c>
      <c r="R103" s="5"/>
      <c r="S103" s="5">
        <v>71270</v>
      </c>
      <c r="T103" s="5">
        <v>27700</v>
      </c>
      <c r="U103" s="5"/>
      <c r="V103" s="5"/>
      <c r="W103" s="5">
        <v>1450</v>
      </c>
      <c r="X103" s="5"/>
      <c r="Y103" s="5">
        <v>421238.17</v>
      </c>
    </row>
    <row r="104" spans="1:25" x14ac:dyDescent="0.25">
      <c r="A104" s="4" t="s">
        <v>129</v>
      </c>
      <c r="B104" s="5">
        <v>6550</v>
      </c>
      <c r="C104" s="5">
        <v>30020</v>
      </c>
      <c r="D104" s="5">
        <v>4963.34</v>
      </c>
      <c r="E104" s="5">
        <v>3878.48</v>
      </c>
      <c r="F104" s="5">
        <v>1389</v>
      </c>
      <c r="G104" s="5">
        <v>7723.1900000000005</v>
      </c>
      <c r="H104" s="5">
        <v>420</v>
      </c>
      <c r="I104" s="5">
        <v>18000</v>
      </c>
      <c r="J104" s="5"/>
      <c r="K104" s="5">
        <v>4650</v>
      </c>
      <c r="L104" s="5"/>
      <c r="M104" s="5">
        <v>37313</v>
      </c>
      <c r="N104" s="5">
        <v>15600</v>
      </c>
      <c r="O104" s="5">
        <v>40300</v>
      </c>
      <c r="P104" s="5">
        <v>61017.22</v>
      </c>
      <c r="Q104" s="5">
        <v>10500</v>
      </c>
      <c r="R104" s="5">
        <v>4500</v>
      </c>
      <c r="S104" s="5">
        <v>157270</v>
      </c>
      <c r="T104" s="5"/>
      <c r="U104" s="5">
        <v>3007.88</v>
      </c>
      <c r="V104" s="5">
        <v>10000</v>
      </c>
      <c r="W104" s="5">
        <v>3318</v>
      </c>
      <c r="X104" s="5"/>
      <c r="Y104" s="5">
        <v>420420.11</v>
      </c>
    </row>
    <row r="105" spans="1:25" x14ac:dyDescent="0.25">
      <c r="A105" s="4" t="s">
        <v>193</v>
      </c>
      <c r="B105" s="5">
        <v>9210</v>
      </c>
      <c r="C105" s="5">
        <v>13525</v>
      </c>
      <c r="D105" s="5">
        <v>4307.38</v>
      </c>
      <c r="E105" s="5">
        <v>2792.17</v>
      </c>
      <c r="F105" s="5">
        <v>3890</v>
      </c>
      <c r="G105" s="5">
        <v>6868.23</v>
      </c>
      <c r="H105" s="5">
        <v>350</v>
      </c>
      <c r="I105" s="5">
        <v>50000</v>
      </c>
      <c r="J105" s="5"/>
      <c r="K105" s="5">
        <v>3090</v>
      </c>
      <c r="L105" s="5">
        <v>18179</v>
      </c>
      <c r="M105" s="5">
        <v>2450</v>
      </c>
      <c r="N105" s="5">
        <v>18600</v>
      </c>
      <c r="O105" s="5">
        <v>97250</v>
      </c>
      <c r="P105" s="5">
        <v>54291</v>
      </c>
      <c r="Q105" s="5">
        <v>10500</v>
      </c>
      <c r="R105" s="5">
        <v>8700</v>
      </c>
      <c r="S105" s="5">
        <v>30000</v>
      </c>
      <c r="T105" s="5">
        <v>26500</v>
      </c>
      <c r="U105" s="5"/>
      <c r="V105" s="5"/>
      <c r="W105" s="5"/>
      <c r="X105" s="5">
        <v>91885</v>
      </c>
      <c r="Y105" s="5">
        <v>452387.77999999997</v>
      </c>
    </row>
    <row r="106" spans="1:25" x14ac:dyDescent="0.25">
      <c r="A106" s="4" t="s">
        <v>223</v>
      </c>
      <c r="B106" s="5">
        <v>10925</v>
      </c>
      <c r="C106" s="5">
        <v>31012</v>
      </c>
      <c r="D106" s="5">
        <v>3784</v>
      </c>
      <c r="E106" s="5">
        <v>3757.59</v>
      </c>
      <c r="F106" s="5">
        <v>695</v>
      </c>
      <c r="G106" s="5">
        <v>7195.73</v>
      </c>
      <c r="H106" s="5">
        <v>1775</v>
      </c>
      <c r="I106" s="5">
        <v>6000</v>
      </c>
      <c r="J106" s="5"/>
      <c r="K106" s="5"/>
      <c r="L106" s="5">
        <v>32284</v>
      </c>
      <c r="M106" s="5">
        <v>11080</v>
      </c>
      <c r="N106" s="5">
        <v>16000</v>
      </c>
      <c r="O106" s="5">
        <v>42800</v>
      </c>
      <c r="P106" s="5">
        <v>64501.18</v>
      </c>
      <c r="Q106" s="5">
        <v>10500</v>
      </c>
      <c r="R106" s="5"/>
      <c r="S106" s="5">
        <v>138744</v>
      </c>
      <c r="T106" s="5">
        <v>16000</v>
      </c>
      <c r="U106" s="5">
        <v>470</v>
      </c>
      <c r="V106" s="5"/>
      <c r="W106" s="5"/>
      <c r="X106" s="5"/>
      <c r="Y106" s="5">
        <v>397523.5</v>
      </c>
    </row>
    <row r="107" spans="1:25" x14ac:dyDescent="0.25">
      <c r="A107" s="4" t="s">
        <v>268</v>
      </c>
      <c r="B107" s="5">
        <v>3908</v>
      </c>
      <c r="C107" s="5">
        <v>18785</v>
      </c>
      <c r="D107" s="5"/>
      <c r="E107" s="5"/>
      <c r="F107" s="5"/>
      <c r="G107" s="5">
        <v>6882.8099999999995</v>
      </c>
      <c r="H107" s="5"/>
      <c r="I107" s="5">
        <v>5000</v>
      </c>
      <c r="J107" s="5"/>
      <c r="K107" s="5"/>
      <c r="L107" s="5">
        <v>2600</v>
      </c>
      <c r="M107" s="5"/>
      <c r="N107" s="5">
        <v>6800</v>
      </c>
      <c r="O107" s="5"/>
      <c r="P107" s="5">
        <v>34753.599999999999</v>
      </c>
      <c r="Q107" s="5">
        <v>22000</v>
      </c>
      <c r="R107" s="5"/>
      <c r="S107" s="5">
        <v>97000</v>
      </c>
      <c r="T107" s="5"/>
      <c r="U107" s="5"/>
      <c r="V107" s="5"/>
      <c r="W107" s="5"/>
      <c r="X107" s="5"/>
      <c r="Y107" s="5">
        <v>197729.41</v>
      </c>
    </row>
    <row r="108" spans="1:25" x14ac:dyDescent="0.25">
      <c r="A108" s="4" t="s">
        <v>11</v>
      </c>
      <c r="B108" s="5">
        <v>45473</v>
      </c>
      <c r="C108" s="5">
        <v>149247</v>
      </c>
      <c r="D108" s="5">
        <v>22690.720000000001</v>
      </c>
      <c r="E108" s="5">
        <v>18400.22</v>
      </c>
      <c r="F108" s="5">
        <v>9674</v>
      </c>
      <c r="G108" s="5">
        <v>43064.51</v>
      </c>
      <c r="H108" s="5">
        <v>12085</v>
      </c>
      <c r="I108" s="5">
        <v>159058</v>
      </c>
      <c r="J108" s="5">
        <v>7500</v>
      </c>
      <c r="K108" s="5">
        <v>8740</v>
      </c>
      <c r="L108" s="5">
        <v>56563</v>
      </c>
      <c r="M108" s="5">
        <v>64001</v>
      </c>
      <c r="N108" s="5">
        <v>93250</v>
      </c>
      <c r="O108" s="5">
        <v>311550</v>
      </c>
      <c r="P108" s="5">
        <v>316134</v>
      </c>
      <c r="Q108" s="5">
        <v>90769.47</v>
      </c>
      <c r="R108" s="5">
        <v>41372</v>
      </c>
      <c r="S108" s="5">
        <v>656054</v>
      </c>
      <c r="T108" s="5">
        <v>70200</v>
      </c>
      <c r="U108" s="5">
        <v>3477.88</v>
      </c>
      <c r="V108" s="5">
        <v>10000</v>
      </c>
      <c r="W108" s="5">
        <v>4768</v>
      </c>
      <c r="X108" s="5">
        <v>91885</v>
      </c>
      <c r="Y108" s="5">
        <v>2285956.7999999993</v>
      </c>
    </row>
    <row r="112" spans="1:25" x14ac:dyDescent="0.25">
      <c r="A112" s="3" t="s">
        <v>6</v>
      </c>
      <c r="B112" t="s">
        <v>136</v>
      </c>
    </row>
    <row r="114" spans="1:2" x14ac:dyDescent="0.25">
      <c r="A114" t="s">
        <v>137</v>
      </c>
      <c r="B114" t="s">
        <v>138</v>
      </c>
    </row>
    <row r="115" spans="1:2" x14ac:dyDescent="0.25">
      <c r="A115" s="5">
        <v>692300</v>
      </c>
      <c r="B115" s="5">
        <v>597216</v>
      </c>
    </row>
    <row r="128" spans="1:2" x14ac:dyDescent="0.25">
      <c r="A128" s="3" t="s">
        <v>78</v>
      </c>
      <c r="B128" s="3" t="s">
        <v>10</v>
      </c>
    </row>
    <row r="129" spans="1:5" x14ac:dyDescent="0.25">
      <c r="A129" s="3" t="s">
        <v>12</v>
      </c>
      <c r="B129" t="s">
        <v>2</v>
      </c>
      <c r="C129" t="s">
        <v>5</v>
      </c>
      <c r="D129" t="s">
        <v>3</v>
      </c>
      <c r="E129" t="s">
        <v>11</v>
      </c>
    </row>
    <row r="130" spans="1:5" x14ac:dyDescent="0.25">
      <c r="A130" s="4" t="s">
        <v>65</v>
      </c>
      <c r="B130" s="5">
        <v>5010</v>
      </c>
      <c r="C130" s="5">
        <v>7935.3799999999992</v>
      </c>
      <c r="D130" s="5">
        <v>3971.98</v>
      </c>
      <c r="E130" s="5">
        <v>16917.36</v>
      </c>
    </row>
    <row r="131" spans="1:5" x14ac:dyDescent="0.25">
      <c r="A131" s="4" t="s">
        <v>64</v>
      </c>
      <c r="B131" s="5">
        <v>4626</v>
      </c>
      <c r="C131" s="5">
        <v>6459.17</v>
      </c>
      <c r="D131" s="5">
        <v>4000</v>
      </c>
      <c r="E131" s="5">
        <v>15085.17</v>
      </c>
    </row>
    <row r="132" spans="1:5" x14ac:dyDescent="0.25">
      <c r="A132" s="4" t="s">
        <v>129</v>
      </c>
      <c r="B132" s="5">
        <v>4963.34</v>
      </c>
      <c r="C132" s="5">
        <v>7723.1900000000005</v>
      </c>
      <c r="D132" s="5">
        <v>3878.48</v>
      </c>
      <c r="E132" s="5">
        <v>16565.010000000002</v>
      </c>
    </row>
    <row r="133" spans="1:5" x14ac:dyDescent="0.25">
      <c r="A133" s="4" t="s">
        <v>193</v>
      </c>
      <c r="B133" s="5">
        <v>4307.38</v>
      </c>
      <c r="C133" s="5">
        <v>6868.23</v>
      </c>
      <c r="D133" s="5">
        <v>2792.17</v>
      </c>
      <c r="E133" s="5">
        <v>13967.78</v>
      </c>
    </row>
    <row r="134" spans="1:5" x14ac:dyDescent="0.25">
      <c r="A134" s="4" t="s">
        <v>223</v>
      </c>
      <c r="B134" s="5">
        <v>3784</v>
      </c>
      <c r="C134" s="5">
        <v>7195.73</v>
      </c>
      <c r="D134" s="5">
        <v>3757.59</v>
      </c>
      <c r="E134" s="5">
        <v>14737.32</v>
      </c>
    </row>
    <row r="135" spans="1:5" x14ac:dyDescent="0.25">
      <c r="A135" s="4" t="s">
        <v>268</v>
      </c>
      <c r="B135" s="5"/>
      <c r="C135" s="5">
        <v>6882.8099999999995</v>
      </c>
      <c r="D135" s="5"/>
      <c r="E135" s="5">
        <v>6882.8099999999995</v>
      </c>
    </row>
    <row r="136" spans="1:5" x14ac:dyDescent="0.25">
      <c r="A136" s="4" t="s">
        <v>11</v>
      </c>
      <c r="B136" s="5">
        <v>22690.720000000001</v>
      </c>
      <c r="C136" s="5">
        <v>43064.509999999995</v>
      </c>
      <c r="D136" s="5">
        <v>18400.22</v>
      </c>
      <c r="E136" s="5">
        <v>84155.45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EA5E-22CA-4ACC-9F06-AB9F90D69829}">
  <dimension ref="B2:F25"/>
  <sheetViews>
    <sheetView zoomScale="80" zoomScaleNormal="80" workbookViewId="0">
      <selection activeCell="J18" sqref="J18"/>
    </sheetView>
  </sheetViews>
  <sheetFormatPr defaultRowHeight="15" x14ac:dyDescent="0.25"/>
  <cols>
    <col min="1" max="1" width="2.42578125" customWidth="1"/>
    <col min="2" max="2" width="27.85546875" customWidth="1"/>
    <col min="3" max="3" width="3.85546875" customWidth="1"/>
    <col min="4" max="4" width="16.7109375" bestFit="1" customWidth="1"/>
    <col min="5" max="5" width="3.5703125" customWidth="1"/>
    <col min="6" max="6" width="19.5703125" bestFit="1" customWidth="1"/>
  </cols>
  <sheetData>
    <row r="2" spans="2:6" x14ac:dyDescent="0.25">
      <c r="B2" s="1" t="s">
        <v>110</v>
      </c>
      <c r="D2" s="1" t="s">
        <v>8</v>
      </c>
      <c r="F2" s="1" t="s">
        <v>67</v>
      </c>
    </row>
    <row r="3" spans="2:6" x14ac:dyDescent="0.25">
      <c r="B3" s="2" t="s">
        <v>111</v>
      </c>
      <c r="D3" s="2" t="s">
        <v>13</v>
      </c>
      <c r="F3" s="2" t="s">
        <v>68</v>
      </c>
    </row>
    <row r="4" spans="2:6" x14ac:dyDescent="0.25">
      <c r="B4" s="2" t="s">
        <v>17</v>
      </c>
      <c r="D4" s="2" t="s">
        <v>14</v>
      </c>
      <c r="F4" s="2" t="s">
        <v>69</v>
      </c>
    </row>
    <row r="5" spans="2:6" x14ac:dyDescent="0.25">
      <c r="B5" s="2" t="s">
        <v>21</v>
      </c>
      <c r="D5" s="2" t="s">
        <v>15</v>
      </c>
      <c r="F5" s="2" t="s">
        <v>70</v>
      </c>
    </row>
    <row r="6" spans="2:6" x14ac:dyDescent="0.25">
      <c r="B6" s="2" t="s">
        <v>25</v>
      </c>
      <c r="D6" s="2" t="s">
        <v>16</v>
      </c>
      <c r="F6" s="2" t="s">
        <v>71</v>
      </c>
    </row>
    <row r="7" spans="2:6" x14ac:dyDescent="0.25">
      <c r="B7" s="2" t="s">
        <v>22</v>
      </c>
      <c r="D7" s="2" t="s">
        <v>136</v>
      </c>
      <c r="F7" s="2" t="s">
        <v>9</v>
      </c>
    </row>
    <row r="8" spans="2:6" x14ac:dyDescent="0.25">
      <c r="B8" s="2" t="s">
        <v>18</v>
      </c>
      <c r="D8" s="2" t="s">
        <v>9</v>
      </c>
    </row>
    <row r="9" spans="2:6" x14ac:dyDescent="0.25">
      <c r="B9" s="2" t="s">
        <v>1</v>
      </c>
    </row>
    <row r="10" spans="2:6" x14ac:dyDescent="0.25">
      <c r="B10" s="2" t="s">
        <v>2</v>
      </c>
    </row>
    <row r="11" spans="2:6" x14ac:dyDescent="0.25">
      <c r="B11" s="2" t="s">
        <v>3</v>
      </c>
    </row>
    <row r="12" spans="2:6" x14ac:dyDescent="0.25">
      <c r="B12" s="2" t="s">
        <v>5</v>
      </c>
    </row>
    <row r="13" spans="2:6" x14ac:dyDescent="0.25">
      <c r="B13" s="2" t="s">
        <v>43</v>
      </c>
    </row>
    <row r="14" spans="2:6" x14ac:dyDescent="0.25">
      <c r="B14" s="2" t="s">
        <v>48</v>
      </c>
    </row>
    <row r="15" spans="2:6" x14ac:dyDescent="0.25">
      <c r="B15" s="2" t="s">
        <v>19</v>
      </c>
    </row>
    <row r="16" spans="2:6" x14ac:dyDescent="0.25">
      <c r="B16" s="2" t="s">
        <v>20</v>
      </c>
    </row>
    <row r="17" spans="2:2" x14ac:dyDescent="0.25">
      <c r="B17" s="2" t="s">
        <v>4</v>
      </c>
    </row>
    <row r="18" spans="2:2" x14ac:dyDescent="0.25">
      <c r="B18" s="2" t="s">
        <v>26</v>
      </c>
    </row>
    <row r="19" spans="2:2" x14ac:dyDescent="0.25">
      <c r="B19" s="2" t="s">
        <v>23</v>
      </c>
    </row>
    <row r="20" spans="2:2" x14ac:dyDescent="0.25">
      <c r="B20" s="2" t="s">
        <v>112</v>
      </c>
    </row>
    <row r="21" spans="2:2" x14ac:dyDescent="0.25">
      <c r="B21" s="2" t="s">
        <v>113</v>
      </c>
    </row>
    <row r="22" spans="2:2" x14ac:dyDescent="0.25">
      <c r="B22" s="2" t="s">
        <v>114</v>
      </c>
    </row>
    <row r="23" spans="2:2" x14ac:dyDescent="0.25">
      <c r="B23" s="2" t="s">
        <v>115</v>
      </c>
    </row>
    <row r="24" spans="2:2" x14ac:dyDescent="0.25">
      <c r="B24" s="2" t="s">
        <v>49</v>
      </c>
    </row>
    <row r="25" spans="2:2" x14ac:dyDescent="0.25">
      <c r="B25" s="2"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663A491B-82A8-4893-9FCD-66BAD283FF55}">
  <ds:schemaRefs/>
</ds:datastoreItem>
</file>

<file path=customXml/itemProps2.xml><?xml version="1.0" encoding="utf-8"?>
<ds:datastoreItem xmlns:ds="http://schemas.openxmlformats.org/officeDocument/2006/customXml" ds:itemID="{F31CB656-981D-4E1B-9A0B-6D75507CB2E5}">
  <ds:schemaRefs/>
</ds:datastoreItem>
</file>

<file path=customXml/itemProps3.xml><?xml version="1.0" encoding="utf-8"?>
<ds:datastoreItem xmlns:ds="http://schemas.openxmlformats.org/officeDocument/2006/customXml" ds:itemID="{D4379FE4-700D-4447-8E43-5974DFB32E7F}">
  <ds:schemaRefs/>
</ds:datastoreItem>
</file>

<file path=customXml/itemProps4.xml><?xml version="1.0" encoding="utf-8"?>
<ds:datastoreItem xmlns:ds="http://schemas.openxmlformats.org/officeDocument/2006/customXml" ds:itemID="{48616455-E1D7-4E1A-A824-953C70E846B7}">
  <ds:schemaRefs/>
</ds:datastoreItem>
</file>

<file path=customXml/itemProps5.xml><?xml version="1.0" encoding="utf-8"?>
<ds:datastoreItem xmlns:ds="http://schemas.openxmlformats.org/officeDocument/2006/customXml" ds:itemID="{BAD03051-8875-4FFD-9D41-5DAC664BD89C}">
  <ds:schemaRefs/>
</ds:datastoreItem>
</file>

<file path=customXml/itemProps6.xml><?xml version="1.0" encoding="utf-8"?>
<ds:datastoreItem xmlns:ds="http://schemas.openxmlformats.org/officeDocument/2006/customXml" ds:itemID="{E6F0A14D-A78C-4C4B-A6E9-30CE158DFA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Pivots</vt:lpstr>
      <vt:lpstr>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Rathnayake Mudiyanselage Iresha Shalini Rathnayake</cp:lastModifiedBy>
  <dcterms:created xsi:type="dcterms:W3CDTF">2015-06-05T18:17:20Z</dcterms:created>
  <dcterms:modified xsi:type="dcterms:W3CDTF">2025-06-15T18:48:12Z</dcterms:modified>
</cp:coreProperties>
</file>